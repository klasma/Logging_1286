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46049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46049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46049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46049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34341-2024</t>
        </is>
      </c>
      <c r="B6" s="1" t="n">
        <v>45525</v>
      </c>
      <c r="C6" s="1" t="n">
        <v>46049</v>
      </c>
      <c r="D6" t="inlineStr">
        <is>
          <t>SKÅNE LÄN</t>
        </is>
      </c>
      <c r="E6" t="inlineStr">
        <is>
          <t>YSTAD</t>
        </is>
      </c>
      <c r="F6" t="inlineStr">
        <is>
          <t>Övriga Aktiebolag</t>
        </is>
      </c>
      <c r="G6" t="n">
        <v>14.4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HYPERLINK("https://klasma.github.io/Logging_1286/artfynd/A 34341-2024 artfynd.xlsx", "A 34341-2024")</f>
        <v/>
      </c>
      <c r="T6">
        <f>HYPERLINK("https://klasma.github.io/Logging_1286/kartor/A 34341-2024 karta.png", "A 34341-2024")</f>
        <v/>
      </c>
      <c r="V6">
        <f>HYPERLINK("https://klasma.github.io/Logging_1286/klagomål/A 34341-2024 FSC-klagomål.docx", "A 34341-2024")</f>
        <v/>
      </c>
      <c r="W6">
        <f>HYPERLINK("https://klasma.github.io/Logging_1286/klagomålsmail/A 34341-2024 FSC-klagomål mail.docx", "A 34341-2024")</f>
        <v/>
      </c>
      <c r="X6">
        <f>HYPERLINK("https://klasma.github.io/Logging_1286/tillsyn/A 34341-2024 tillsynsbegäran.docx", "A 34341-2024")</f>
        <v/>
      </c>
      <c r="Y6">
        <f>HYPERLINK("https://klasma.github.io/Logging_1286/tillsynsmail/A 34341-2024 tillsynsbegäran mail.docx", "A 34341-2024")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46049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46049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13766-2023</t>
        </is>
      </c>
      <c r="B9" s="1" t="n">
        <v>45007</v>
      </c>
      <c r="C9" s="1" t="n">
        <v>46049</v>
      </c>
      <c r="D9" t="inlineStr">
        <is>
          <t>SKÅNE LÄN</t>
        </is>
      </c>
      <c r="E9" t="inlineStr">
        <is>
          <t>YSTAD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HYPERLINK("https://klasma.github.io/Logging_1286/artfynd/A 13766-2023 artfynd.xlsx", "A 13766-2023")</f>
        <v/>
      </c>
      <c r="T9">
        <f>HYPERLINK("https://klasma.github.io/Logging_1286/kartor/A 13766-2023 karta.png", "A 13766-2023")</f>
        <v/>
      </c>
      <c r="V9">
        <f>HYPERLINK("https://klasma.github.io/Logging_1286/klagomål/A 13766-2023 FSC-klagomål.docx", "A 13766-2023")</f>
        <v/>
      </c>
      <c r="W9">
        <f>HYPERLINK("https://klasma.github.io/Logging_1286/klagomålsmail/A 13766-2023 FSC-klagomål mail.docx", "A 13766-2023")</f>
        <v/>
      </c>
      <c r="X9">
        <f>HYPERLINK("https://klasma.github.io/Logging_1286/tillsyn/A 13766-2023 tillsynsbegäran.docx", "A 13766-2023")</f>
        <v/>
      </c>
      <c r="Y9">
        <f>HYPERLINK("https://klasma.github.io/Logging_1286/tillsynsmail/A 13766-2023 tillsynsbegäran mail.docx", "A 13766-2023")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46049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46049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46049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46049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46049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46049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60803-2023</t>
        </is>
      </c>
      <c r="B16" s="1" t="n">
        <v>45260</v>
      </c>
      <c r="C16" s="1" t="n">
        <v>46049</v>
      </c>
      <c r="D16" t="inlineStr">
        <is>
          <t>SKÅNE LÄN</t>
        </is>
      </c>
      <c r="E16" t="inlineStr">
        <is>
          <t>YSTAD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32596-2024</t>
        </is>
      </c>
      <c r="B17" s="1" t="n">
        <v>45513.61667824074</v>
      </c>
      <c r="C17" s="1" t="n">
        <v>46049</v>
      </c>
      <c r="D17" t="inlineStr">
        <is>
          <t>SKÅNE LÄN</t>
        </is>
      </c>
      <c r="E17" t="inlineStr">
        <is>
          <t>YSTAD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49536-2025</t>
        </is>
      </c>
      <c r="B18" s="1" t="n">
        <v>45939.4221875</v>
      </c>
      <c r="C18" s="1" t="n">
        <v>46049</v>
      </c>
      <c r="D18" t="inlineStr">
        <is>
          <t>SKÅNE LÄN</t>
        </is>
      </c>
      <c r="E18" t="inlineStr">
        <is>
          <t>YSTAD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49543-2025</t>
        </is>
      </c>
      <c r="B19" s="1" t="n">
        <v>45939.42862268518</v>
      </c>
      <c r="C19" s="1" t="n">
        <v>46049</v>
      </c>
      <c r="D19" t="inlineStr">
        <is>
          <t>SKÅNE LÄN</t>
        </is>
      </c>
      <c r="E19" t="inlineStr">
        <is>
          <t>YSTAD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49549-2025</t>
        </is>
      </c>
      <c r="B20" s="1" t="n">
        <v>45939</v>
      </c>
      <c r="C20" s="1" t="n">
        <v>46049</v>
      </c>
      <c r="D20" t="inlineStr">
        <is>
          <t>SKÅNE LÄN</t>
        </is>
      </c>
      <c r="E20" t="inlineStr">
        <is>
          <t>YSTAD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46049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18090-2022</t>
        </is>
      </c>
      <c r="B22" s="1" t="n">
        <v>44684</v>
      </c>
      <c r="C22" s="1" t="n">
        <v>46049</v>
      </c>
      <c r="D22" t="inlineStr">
        <is>
          <t>SKÅNE LÄN</t>
        </is>
      </c>
      <c r="E22" t="inlineStr">
        <is>
          <t>YSTAD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22195-2023</t>
        </is>
      </c>
      <c r="B23" s="1" t="n">
        <v>45069.74605324074</v>
      </c>
      <c r="C23" s="1" t="n">
        <v>46049</v>
      </c>
      <c r="D23" t="inlineStr">
        <is>
          <t>SKÅNE LÄN</t>
        </is>
      </c>
      <c r="E23" t="inlineStr">
        <is>
          <t>YSTAD</t>
        </is>
      </c>
      <c r="F23" t="inlineStr">
        <is>
          <t>Övriga Aktiebolag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2026-01-27T10:57:54Z</dcterms:created>
  <dcterms:modified xmlns:dcterms="http://purl.org/dc/terms/" xmlns:xsi="http://www.w3.org/2001/XMLSchema-instance" xsi:type="dcterms:W3CDTF">2026-01-27T10:57:54Z</dcterms:modified>
</cp:coreProperties>
</file>
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46307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46307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46307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46307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46307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45644</v>
      </c>
      <c r="E9" s="1" t="n">
        <v>46307</v>
      </c>
      <c r="F9" t="inlineStr">
        <is>
          <t>SKÅNE LÄN</t>
        </is>
      </c>
      <c r="G9" t="inlineStr">
        <is>
          <t>YSTAD</t>
        </is>
      </c>
      <c r="I9" t="n">
        <v>16.1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Lövgroda</t>
        </is>
      </c>
      <c r="W9">
        <f>HYPERLINK("https://klasma.github.io/Logging_1286/artfynd/A 60891-2024 artfynd.xlsx", "A 60891-2024")</f>
        <v/>
      </c>
      <c r="X9">
        <f>HYPERLINK("https://klasma.github.io/Logging_1286/kartor/A 60891-2024 karta.png", "A 60891-2024")</f>
        <v/>
      </c>
      <c r="Y9">
        <f>HYPERLINK("https://klasma.github.io/Logging_1286/kartor_geotiff/A 60891-2024 georefererad karta.tif", "A 60891-2024")</f>
        <v/>
      </c>
      <c r="AA9">
        <f>HYPERLINK("https://klasma.github.io/Logging_1286/klagomål/A 60891-2024 FSC-klagomål.docx", "A 60891-2024")</f>
        <v/>
      </c>
      <c r="AB9">
        <f>HYPERLINK("https://klasma.github.io/Logging_1286/klagomålsmail/A 60891-2024 FSC-klagomål mail.docx", "A 60891-2024")</f>
        <v/>
      </c>
      <c r="AC9">
        <f>HYPERLINK("https://klasma.github.io/Logging_1286/tillsyn/A 60891-2024 tillsynsbegäran.docx", "A 60891-2024")</f>
        <v/>
      </c>
      <c r="AD9">
        <f>HYPERLINK("https://klasma.github.io/Logging_1286/tillsynsmail/A 60891-2024 tillsynsbegäran mail.docx", "A 60891-2024")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46307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49543-2025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46307</v>
      </c>
      <c r="F11" t="inlineStr">
        <is>
          <t>SKÅNE LÄN</t>
        </is>
      </c>
      <c r="G11" t="inlineStr">
        <is>
          <t>YSTAD</t>
        </is>
      </c>
      <c r="I11" t="n">
        <v>1.4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Svartöra</t>
        </is>
      </c>
      <c r="W11">
        <f>HYPERLINK("https://klasma.github.io/Logging_1286/artfynd/A 49543-2025 artfynd.xlsx", "A 49543-2025")</f>
        <v/>
      </c>
      <c r="X11">
        <f>HYPERLINK("https://klasma.github.io/Logging_1286/kartor/A 49543-2025 karta.png", "A 49543-2025")</f>
        <v/>
      </c>
      <c r="Y11">
        <f>HYPERLINK("https://klasma.github.io/Logging_1286/kartor_geotiff/A 49543-2025 georefererad karta.tif", "A 49543-2025")</f>
        <v/>
      </c>
      <c r="AA11">
        <f>HYPERLINK("https://klasma.github.io/Logging_1286/klagomål/A 49543-2025 FSC-klagomål.docx", "A 49543-2025")</f>
        <v/>
      </c>
      <c r="AB11">
        <f>HYPERLINK("https://klasma.github.io/Logging_1286/klagomålsmail/A 49543-2025 FSC-klagomål mail.docx", "A 49543-2025")</f>
        <v/>
      </c>
      <c r="AC11">
        <f>HYPERLINK("https://klasma.github.io/Logging_1286/tillsyn/A 49543-2025 tillsynsbegäran.docx", "A 49543-2025")</f>
        <v/>
      </c>
      <c r="AD11">
        <f>HYPERLINK("https://klasma.github.io/Logging_1286/tillsynsmail/A 49543-2025 tillsynsbegäran mail.docx", "A 49543-2025")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46307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46307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22195-2023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46307</v>
      </c>
      <c r="F14" t="inlineStr">
        <is>
          <t>SKÅNE LÄN</t>
        </is>
      </c>
      <c r="G14" t="inlineStr">
        <is>
          <t>YSTAD</t>
        </is>
      </c>
      <c r="H14" t="inlineStr">
        <is>
          <t>Övriga Aktiebolag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46307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46307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46307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46307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46307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46307</v>
      </c>
      <c r="F20" t="inlineStr">
        <is>
          <t>SKÅNE LÄN</t>
        </is>
      </c>
      <c r="G20" t="inlineStr">
        <is>
          <t>YSTAD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46307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46307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46307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2026-10-12T02:02:41Z</dcterms:created>
  <dcterms:modified xmlns:dcterms="http://purl.org/dc/terms/" xmlns:xsi="http://www.w3.org/2001/XMLSchema-instance" xsi:type="dcterms:W3CDTF">2026-10-12T02:02:41Z</dcterms:modified>
</cp:coreProperties>
</file>
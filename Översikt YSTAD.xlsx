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45883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45883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45883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45883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45883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34341-2024</t>
        </is>
      </c>
      <c r="B7" s="1" t="n">
        <v>45525</v>
      </c>
      <c r="C7" s="1" t="n">
        <v>45883</v>
      </c>
      <c r="D7" t="inlineStr">
        <is>
          <t>SKÅNE LÄN</t>
        </is>
      </c>
      <c r="E7" t="inlineStr">
        <is>
          <t>YSTAD</t>
        </is>
      </c>
      <c r="F7" t="inlineStr">
        <is>
          <t>Övriga Aktiebolag</t>
        </is>
      </c>
      <c r="G7" t="n">
        <v>14.4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Desmeknopp</t>
        </is>
      </c>
      <c r="S7">
        <f>HYPERLINK("https://klasma.github.io/Logging_1286/artfynd/A 34341-2024 artfynd.xlsx", "A 34341-2024")</f>
        <v/>
      </c>
      <c r="T7">
        <f>HYPERLINK("https://klasma.github.io/Logging_1286/kartor/A 34341-2024 karta.png", "A 34341-2024")</f>
        <v/>
      </c>
      <c r="V7">
        <f>HYPERLINK("https://klasma.github.io/Logging_1286/klagomål/A 34341-2024 FSC-klagomål.docx", "A 34341-2024")</f>
        <v/>
      </c>
      <c r="W7">
        <f>HYPERLINK("https://klasma.github.io/Logging_1286/klagomålsmail/A 34341-2024 FSC-klagomål mail.docx", "A 34341-2024")</f>
        <v/>
      </c>
      <c r="X7">
        <f>HYPERLINK("https://klasma.github.io/Logging_1286/tillsyn/A 34341-2024 tillsynsbegäran.docx", "A 34341-2024")</f>
        <v/>
      </c>
      <c r="Y7">
        <f>HYPERLINK("https://klasma.github.io/Logging_1286/tillsynsmail/A 34341-2024 tillsynsbegäran mail.docx", "A 34341-2024")</f>
        <v/>
      </c>
    </row>
    <row r="8" ht="15" customHeight="1">
      <c r="A8" t="inlineStr">
        <is>
          <t>A 60891-2024</t>
        </is>
      </c>
      <c r="B8" s="1" t="n">
        <v>45644</v>
      </c>
      <c r="C8" s="1" t="n">
        <v>45883</v>
      </c>
      <c r="D8" t="inlineStr">
        <is>
          <t>SKÅNE LÄN</t>
        </is>
      </c>
      <c r="E8" t="inlineStr">
        <is>
          <t>YSTAD</t>
        </is>
      </c>
      <c r="G8" t="n">
        <v>16.1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Lövgroda</t>
        </is>
      </c>
      <c r="S8">
        <f>HYPERLINK("https://klasma.github.io/Logging_1286/artfynd/A 60891-2024 artfynd.xlsx", "A 60891-2024")</f>
        <v/>
      </c>
      <c r="T8">
        <f>HYPERLINK("https://klasma.github.io/Logging_1286/kartor/A 60891-2024 karta.png", "A 60891-2024")</f>
        <v/>
      </c>
      <c r="V8">
        <f>HYPERLINK("https://klasma.github.io/Logging_1286/klagomål/A 60891-2024 FSC-klagomål.docx", "A 60891-2024")</f>
        <v/>
      </c>
      <c r="W8">
        <f>HYPERLINK("https://klasma.github.io/Logging_1286/klagomålsmail/A 60891-2024 FSC-klagomål mail.docx", "A 60891-2024")</f>
        <v/>
      </c>
      <c r="X8">
        <f>HYPERLINK("https://klasma.github.io/Logging_1286/tillsyn/A 60891-2024 tillsynsbegäran.docx", "A 60891-2024")</f>
        <v/>
      </c>
      <c r="Y8">
        <f>HYPERLINK("https://klasma.github.io/Logging_1286/tillsynsmail/A 60891-2024 tillsynsbegäran mail.docx", "A 60891-2024")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45883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36951-2021</t>
        </is>
      </c>
      <c r="B10" s="1" t="n">
        <v>44393</v>
      </c>
      <c r="C10" s="1" t="n">
        <v>45883</v>
      </c>
      <c r="D10" t="inlineStr">
        <is>
          <t>SKÅNE LÄN</t>
        </is>
      </c>
      <c r="E10" t="inlineStr">
        <is>
          <t>YSTAD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36947-2021</t>
        </is>
      </c>
      <c r="B11" s="1" t="n">
        <v>44393</v>
      </c>
      <c r="C11" s="1" t="n">
        <v>45883</v>
      </c>
      <c r="D11" t="inlineStr">
        <is>
          <t>SKÅNE LÄN</t>
        </is>
      </c>
      <c r="E11" t="inlineStr">
        <is>
          <t>YSTAD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9655-2022</t>
        </is>
      </c>
      <c r="B12" s="1" t="n">
        <v>44617</v>
      </c>
      <c r="C12" s="1" t="n">
        <v>45883</v>
      </c>
      <c r="D12" t="inlineStr">
        <is>
          <t>SKÅNE LÄN</t>
        </is>
      </c>
      <c r="E12" t="inlineStr">
        <is>
          <t>YSTAD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32590-2024</t>
        </is>
      </c>
      <c r="B13" s="1" t="n">
        <v>45513.59799768519</v>
      </c>
      <c r="C13" s="1" t="n">
        <v>45883</v>
      </c>
      <c r="D13" t="inlineStr">
        <is>
          <t>SKÅNE LÄN</t>
        </is>
      </c>
      <c r="E13" t="inlineStr">
        <is>
          <t>YSTAD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45883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32596-2024</t>
        </is>
      </c>
      <c r="B15" s="1" t="n">
        <v>45513.61667824074</v>
      </c>
      <c r="C15" s="1" t="n">
        <v>45883</v>
      </c>
      <c r="D15" t="inlineStr">
        <is>
          <t>SKÅNE LÄN</t>
        </is>
      </c>
      <c r="E15" t="inlineStr">
        <is>
          <t>YSTAD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22195-2023</t>
        </is>
      </c>
      <c r="B16" s="1" t="n">
        <v>45069.74605324074</v>
      </c>
      <c r="C16" s="1" t="n">
        <v>45883</v>
      </c>
      <c r="D16" t="inlineStr">
        <is>
          <t>SKÅNE LÄN</t>
        </is>
      </c>
      <c r="E16" t="inlineStr">
        <is>
          <t>YSTAD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34302-2024</t>
        </is>
      </c>
      <c r="B17" s="1" t="n">
        <v>45524</v>
      </c>
      <c r="C17" s="1" t="n">
        <v>45883</v>
      </c>
      <c r="D17" t="inlineStr">
        <is>
          <t>SKÅNE LÄN</t>
        </is>
      </c>
      <c r="E17" t="inlineStr">
        <is>
          <t>YSTAD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60803-2023</t>
        </is>
      </c>
      <c r="B18" s="1" t="n">
        <v>45260</v>
      </c>
      <c r="C18" s="1" t="n">
        <v>45883</v>
      </c>
      <c r="D18" t="inlineStr">
        <is>
          <t>SKÅNE LÄN</t>
        </is>
      </c>
      <c r="E18" t="inlineStr">
        <is>
          <t>YSTAD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60888-2024</t>
        </is>
      </c>
      <c r="B19" s="1" t="n">
        <v>45644</v>
      </c>
      <c r="C19" s="1" t="n">
        <v>45883</v>
      </c>
      <c r="D19" t="inlineStr">
        <is>
          <t>SKÅNE LÄN</t>
        </is>
      </c>
      <c r="E19" t="inlineStr">
        <is>
          <t>YSTAD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47011-2020</t>
        </is>
      </c>
      <c r="B20" s="1" t="n">
        <v>44096</v>
      </c>
      <c r="C20" s="1" t="n">
        <v>45883</v>
      </c>
      <c r="D20" t="inlineStr">
        <is>
          <t>SKÅNE LÄN</t>
        </is>
      </c>
      <c r="E20" t="inlineStr">
        <is>
          <t>YSTAD</t>
        </is>
      </c>
      <c r="G20" t="n">
        <v>12.4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38631-2023</t>
        </is>
      </c>
      <c r="B21" s="1" t="n">
        <v>45162</v>
      </c>
      <c r="C21" s="1" t="n">
        <v>45883</v>
      </c>
      <c r="D21" t="inlineStr">
        <is>
          <t>SKÅNE LÄN</t>
        </is>
      </c>
      <c r="E21" t="inlineStr">
        <is>
          <t>YSTAD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18090-2022</t>
        </is>
      </c>
      <c r="B22" s="1" t="n">
        <v>44684</v>
      </c>
      <c r="C22" s="1" t="n">
        <v>45883</v>
      </c>
      <c r="D22" t="inlineStr">
        <is>
          <t>SKÅNE LÄN</t>
        </is>
      </c>
      <c r="E22" t="inlineStr">
        <is>
          <t>YSTAD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1366-2021</t>
        </is>
      </c>
      <c r="B23" s="1" t="n">
        <v>44208</v>
      </c>
      <c r="C23" s="1" t="n">
        <v>45883</v>
      </c>
      <c r="D23" t="inlineStr">
        <is>
          <t>SKÅNE LÄN</t>
        </is>
      </c>
      <c r="E23" t="inlineStr">
        <is>
          <t>YSTAD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55066-2020</t>
        </is>
      </c>
      <c r="B24" s="1" t="n">
        <v>44127</v>
      </c>
      <c r="C24" s="1" t="n">
        <v>45883</v>
      </c>
      <c r="D24" t="inlineStr">
        <is>
          <t>SKÅNE LÄN</t>
        </is>
      </c>
      <c r="E24" t="inlineStr">
        <is>
          <t>YSTAD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2025-08-14T08:25:21Z</dcterms:created>
  <dcterms:modified xmlns:dcterms="http://purl.org/dc/terms/" xmlns:xsi="http://www.w3.org/2001/XMLSchema-instance" xsi:type="dcterms:W3CDTF">2025-08-14T08:25:21Z</dcterms:modified>
</cp:coreProperties>
</file>
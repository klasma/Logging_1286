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46222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Skogsveronika
Skärmstarr</t>
        </is>
      </c>
      <c r="V2">
        <f>HYPERLINK("https://klasma.github.io/Logging_1286/artfynd/A 31213-2023 artfynd.xlsx", "A 31213-2023")</f>
        <v/>
      </c>
      <c r="W2">
        <f>HYPERLINK("https://klasma.github.io/Logging_1286/kartor/A 31213-2023 karta.png", "A 31213-2023")</f>
        <v/>
      </c>
      <c r="Y2">
        <f>HYPERLINK("https://klasma.github.io/Logging_1286/klagomål/A 31213-2023 FSC-klagomål.docx", "A 31213-2023")</f>
        <v/>
      </c>
      <c r="Z2">
        <f>HYPERLINK("https://klasma.github.io/Logging_1286/klagomålsmail/A 31213-2023 FSC-klagomål mail.docx", "A 31213-2023")</f>
        <v/>
      </c>
      <c r="AA2">
        <f>HYPERLINK("https://klasma.github.io/Logging_1286/tillsyn/A 31213-2023 tillsynsbegäran.docx", "A 31213-2023")</f>
        <v/>
      </c>
      <c r="AB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46222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s="2" t="inlineStr">
        <is>
          <t>Lönnlav
Strävlosta</t>
        </is>
      </c>
      <c r="V3">
        <f>HYPERLINK("https://klasma.github.io/Logging_1286/artfynd/A 3253-2025 artfynd.xlsx", "A 3253-2025")</f>
        <v/>
      </c>
      <c r="W3">
        <f>HYPERLINK("https://klasma.github.io/Logging_1286/kartor/A 3253-2025 karta.png", "A 3253-2025")</f>
        <v/>
      </c>
      <c r="Y3">
        <f>HYPERLINK("https://klasma.github.io/Logging_1286/klagomål/A 3253-2025 FSC-klagomål.docx", "A 3253-2025")</f>
        <v/>
      </c>
      <c r="Z3">
        <f>HYPERLINK("https://klasma.github.io/Logging_1286/klagomålsmail/A 3253-2025 FSC-klagomål mail.docx", "A 3253-2025")</f>
        <v/>
      </c>
      <c r="AA3">
        <f>HYPERLINK("https://klasma.github.io/Logging_1286/tillsyn/A 3253-2025 tillsynsbegäran.docx", "A 3253-2025")</f>
        <v/>
      </c>
      <c r="AB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46222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s="2" t="inlineStr">
        <is>
          <t>Skogsalm
Igelkottsröksvamp</t>
        </is>
      </c>
      <c r="V4">
        <f>HYPERLINK("https://klasma.github.io/Logging_1286/artfynd/A 49546-2025 artfynd.xlsx", "A 49546-2025")</f>
        <v/>
      </c>
      <c r="W4">
        <f>HYPERLINK("https://klasma.github.io/Logging_1286/kartor/A 49546-2025 karta.png", "A 49546-2025")</f>
        <v/>
      </c>
      <c r="Y4">
        <f>HYPERLINK("https://klasma.github.io/Logging_1286/klagomål/A 49546-2025 FSC-klagomål.docx", "A 49546-2025")</f>
        <v/>
      </c>
      <c r="Z4">
        <f>HYPERLINK("https://klasma.github.io/Logging_1286/klagomålsmail/A 49546-2025 FSC-klagomål mail.docx", "A 49546-2025")</f>
        <v/>
      </c>
      <c r="AA4">
        <f>HYPERLINK("https://klasma.github.io/Logging_1286/tillsyn/A 49546-2025 tillsynsbegäran.docx", "A 49546-2025")</f>
        <v/>
      </c>
      <c r="AB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46222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s="2" t="inlineStr">
        <is>
          <t>Klockgroda
Ätlig groda</t>
        </is>
      </c>
      <c r="V5">
        <f>HYPERLINK("https://klasma.github.io/Logging_1286/artfynd/A 60295-2022 artfynd.xlsx", "A 60295-2022")</f>
        <v/>
      </c>
      <c r="W5">
        <f>HYPERLINK("https://klasma.github.io/Logging_1286/kartor/A 60295-2022 karta.png", "A 60295-2022")</f>
        <v/>
      </c>
      <c r="Y5">
        <f>HYPERLINK("https://klasma.github.io/Logging_1286/klagomål/A 60295-2022 FSC-klagomål.docx", "A 60295-2022")</f>
        <v/>
      </c>
      <c r="Z5">
        <f>HYPERLINK("https://klasma.github.io/Logging_1286/klagomålsmail/A 60295-2022 FSC-klagomål mail.docx", "A 60295-2022")</f>
        <v/>
      </c>
      <c r="AA5">
        <f>HYPERLINK("https://klasma.github.io/Logging_1286/tillsyn/A 60295-2022 tillsynsbegäran.docx", "A 60295-2022")</f>
        <v/>
      </c>
      <c r="AB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HYPERLINK("https://klasma.github.io/Logging_1286/artfynd/A 29858-2022 artfynd.xlsx", "A 29858-2022")</f>
        <v/>
      </c>
      <c r="W6">
        <f>HYPERLINK("https://klasma.github.io/Logging_1286/kartor/A 29858-2022 karta.png", "A 29858-2022")</f>
        <v/>
      </c>
      <c r="Y6">
        <f>HYPERLINK("https://klasma.github.io/Logging_1286/klagomål/A 29858-2022 FSC-klagomål.docx", "A 29858-2022")</f>
        <v/>
      </c>
      <c r="Z6">
        <f>HYPERLINK("https://klasma.github.io/Logging_1286/klagomålsmail/A 29858-2022 FSC-klagomål mail.docx", "A 29858-2022")</f>
        <v/>
      </c>
      <c r="AA6">
        <f>HYPERLINK("https://klasma.github.io/Logging_1286/tillsyn/A 29858-2022 tillsynsbegäran.docx", "A 29858-2022")</f>
        <v/>
      </c>
      <c r="AB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46222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Ask</t>
        </is>
      </c>
      <c r="V7">
        <f>HYPERLINK("https://klasma.github.io/Logging_1286/artfynd/A 61558-2023 artfynd.xlsx", "A 61558-2023")</f>
        <v/>
      </c>
      <c r="W7">
        <f>HYPERLINK("https://klasma.github.io/Logging_1286/kartor/A 61558-2023 karta.png", "A 61558-2023")</f>
        <v/>
      </c>
      <c r="Y7">
        <f>HYPERLINK("https://klasma.github.io/Logging_1286/klagomål/A 61558-2023 FSC-klagomål.docx", "A 61558-2023")</f>
        <v/>
      </c>
      <c r="Z7">
        <f>HYPERLINK("https://klasma.github.io/Logging_1286/klagomålsmail/A 61558-2023 FSC-klagomål mail.docx", "A 61558-2023")</f>
        <v/>
      </c>
      <c r="AA7">
        <f>HYPERLINK("https://klasma.github.io/Logging_1286/tillsyn/A 61558-2023 tillsynsbegäran.docx", "A 61558-2023")</f>
        <v/>
      </c>
      <c r="AB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46222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Desmeknopp</t>
        </is>
      </c>
      <c r="V8">
        <f>HYPERLINK("https://klasma.github.io/Logging_1286/artfynd/A 34341-2024 artfynd.xlsx", "A 34341-2024")</f>
        <v/>
      </c>
      <c r="W8">
        <f>HYPERLINK("https://klasma.github.io/Logging_1286/kartor/A 34341-2024 karta.png", "A 34341-2024")</f>
        <v/>
      </c>
      <c r="Y8">
        <f>HYPERLINK("https://klasma.github.io/Logging_1286/klagomål/A 34341-2024 FSC-klagomål.docx", "A 34341-2024")</f>
        <v/>
      </c>
      <c r="Z8">
        <f>HYPERLINK("https://klasma.github.io/Logging_1286/klagomålsmail/A 34341-2024 FSC-klagomål mail.docx", "A 34341-2024")</f>
        <v/>
      </c>
      <c r="AA8">
        <f>HYPERLINK("https://klasma.github.io/Logging_1286/tillsyn/A 34341-2024 tillsynsbegäran.docx", "A 34341-2024")</f>
        <v/>
      </c>
      <c r="AB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46222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s="2" t="inlineStr">
        <is>
          <t>Svartöra</t>
        </is>
      </c>
      <c r="V9">
        <f>HYPERLINK("https://klasma.github.io/Logging_1286/artfynd/A 49543-2025 artfynd.xlsx", "A 49543-2025")</f>
        <v/>
      </c>
      <c r="W9">
        <f>HYPERLINK("https://klasma.github.io/Logging_1286/kartor/A 49543-2025 karta.png", "A 49543-2025")</f>
        <v/>
      </c>
      <c r="Y9">
        <f>HYPERLINK("https://klasma.github.io/Logging_1286/klagomål/A 49543-2025 FSC-klagomål.docx", "A 49543-2025")</f>
        <v/>
      </c>
      <c r="Z9">
        <f>HYPERLINK("https://klasma.github.io/Logging_1286/klagomålsmail/A 49543-2025 FSC-klagomål mail.docx", "A 49543-2025")</f>
        <v/>
      </c>
      <c r="AA9">
        <f>HYPERLINK("https://klasma.github.io/Logging_1286/tillsyn/A 49543-2025 tillsynsbegäran.docx", "A 49543-2025")</f>
        <v/>
      </c>
      <c r="AB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46222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Större vattensalamander</t>
        </is>
      </c>
      <c r="V10">
        <f>HYPERLINK("https://klasma.github.io/Logging_1286/artfynd/A 13766-2023 artfynd.xlsx", "A 13766-2023")</f>
        <v/>
      </c>
      <c r="W10">
        <f>HYPERLINK("https://klasma.github.io/Logging_1286/kartor/A 13766-2023 karta.png", "A 13766-2023")</f>
        <v/>
      </c>
      <c r="Y10">
        <f>HYPERLINK("https://klasma.github.io/Logging_1286/klagomål/A 13766-2023 FSC-klagomål.docx", "A 13766-2023")</f>
        <v/>
      </c>
      <c r="Z10">
        <f>HYPERLINK("https://klasma.github.io/Logging_1286/klagomålsmail/A 13766-2023 FSC-klagomål mail.docx", "A 13766-2023")</f>
        <v/>
      </c>
      <c r="AA10">
        <f>HYPERLINK("https://klasma.github.io/Logging_1286/tillsyn/A 13766-2023 tillsynsbegäran.docx", "A 13766-2023")</f>
        <v/>
      </c>
      <c r="AB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46222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Lövgroda</t>
        </is>
      </c>
      <c r="V11">
        <f>HYPERLINK("https://klasma.github.io/Logging_1286/artfynd/A 60891-2024 artfynd.xlsx", "A 60891-2024")</f>
        <v/>
      </c>
      <c r="W11">
        <f>HYPERLINK("https://klasma.github.io/Logging_1286/kartor/A 60891-2024 karta.png", "A 60891-2024")</f>
        <v/>
      </c>
      <c r="Y11">
        <f>HYPERLINK("https://klasma.github.io/Logging_1286/klagomål/A 60891-2024 FSC-klagomål.docx", "A 60891-2024")</f>
        <v/>
      </c>
      <c r="Z11">
        <f>HYPERLINK("https://klasma.github.io/Logging_1286/klagomålsmail/A 60891-2024 FSC-klagomål mail.docx", "A 60891-2024")</f>
        <v/>
      </c>
      <c r="AA11">
        <f>HYPERLINK("https://klasma.github.io/Logging_1286/tillsyn/A 60891-2024 tillsynsbegäran.docx", "A 60891-2024")</f>
        <v/>
      </c>
      <c r="AB11">
        <f>HYPERLINK("https://klasma.github.io/Logging_1286/tillsynsmail/A 60891-2024 tillsynsbegäran mail.docx", "A 60891-2024")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46222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40417-2022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44823</v>
      </c>
      <c r="E13" s="1" t="n">
        <v>46222</v>
      </c>
      <c r="F13" t="inlineStr">
        <is>
          <t>SKÅNE LÄN</t>
        </is>
      </c>
      <c r="G13" t="inlineStr">
        <is>
          <t>YSTAD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34302-2024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45524</v>
      </c>
      <c r="E14" s="1" t="n">
        <v>46222</v>
      </c>
      <c r="F14" t="inlineStr">
        <is>
          <t>SKÅNE LÄN</t>
        </is>
      </c>
      <c r="G14" t="inlineStr">
        <is>
          <t>YSTAD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46222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46222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49549-2025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46222</v>
      </c>
      <c r="F17" t="inlineStr">
        <is>
          <t>SKÅNE LÄN</t>
        </is>
      </c>
      <c r="G17" t="inlineStr">
        <is>
          <t>YSTAD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46222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46222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46222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46222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46222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2026-07-19T01:31:57Z</dcterms:created>
  <dcterms:modified xmlns:dcterms="http://purl.org/dc/terms/" xmlns:xsi="http://www.w3.org/2001/XMLSchema-instance" xsi:type="dcterms:W3CDTF">2026-07-19T01:31:57Z</dcterms:modified>
</cp:coreProperties>
</file>
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49546-2025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45939</v>
      </c>
      <c r="E2" s="1" t="n">
        <v>46225</v>
      </c>
      <c r="F2" t="inlineStr">
        <is>
          <t>SKÅNE LÄN</t>
        </is>
      </c>
      <c r="G2" t="inlineStr">
        <is>
          <t>YSTAD</t>
        </is>
      </c>
      <c r="I2" t="n">
        <v>4.4</v>
      </c>
      <c r="J2" t="n">
        <v>0</v>
      </c>
      <c r="K2" t="n">
        <v>1</v>
      </c>
      <c r="L2" t="n">
        <v>0</v>
      </c>
      <c r="M2" t="n">
        <v>0</v>
      </c>
      <c r="N2" t="n">
        <v>1</v>
      </c>
      <c r="O2" t="n">
        <v>0</v>
      </c>
      <c r="P2" t="n">
        <v>0</v>
      </c>
      <c r="Q2" t="n">
        <v>1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Skogsalm
Igelkottsröksvamp</t>
        </is>
      </c>
      <c r="W2">
        <f>HYPERLINK("https://klasma.github.io/Logging_1286/artfynd/A 49546-2025 artfynd.xlsx", "A 49546-2025")</f>
        <v/>
      </c>
      <c r="X2">
        <f>HYPERLINK("https://klasma.github.io/Logging_1286/kartor/A 49546-2025 karta.png", "A 49546-2025")</f>
        <v/>
      </c>
      <c r="Y2">
        <f>HYPERLINK("https://klasma.github.io/Logging_1286/kartor_geotiff/A 49546-2025 georefererad karta.tif", "A 49546-2025")</f>
        <v/>
      </c>
      <c r="AA2">
        <f>HYPERLINK("https://klasma.github.io/Logging_1286/klagomål/A 49546-2025 FSC-klagomål.docx", "A 49546-2025")</f>
        <v/>
      </c>
      <c r="AB2">
        <f>HYPERLINK("https://klasma.github.io/Logging_1286/klagomålsmail/A 49546-2025 FSC-klagomål mail.docx", "A 49546-2025")</f>
        <v/>
      </c>
      <c r="AC2">
        <f>HYPERLINK("https://klasma.github.io/Logging_1286/tillsyn/A 49546-2025 tillsynsbegäran.docx", "A 49546-2025")</f>
        <v/>
      </c>
      <c r="AD2">
        <f>HYPERLINK("https://klasma.github.io/Logging_1286/tillsynsmail/A 49546-2025 tillsynsbegäran mail.docx", "A 49546-2025")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46225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46225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46225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46225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46225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46225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46225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46225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46225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9655-2022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44617</v>
      </c>
      <c r="E12" s="1" t="n">
        <v>46225</v>
      </c>
      <c r="F12" t="inlineStr">
        <is>
          <t>SKÅNE LÄN</t>
        </is>
      </c>
      <c r="G12" t="inlineStr">
        <is>
          <t>YSTAD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40417-2022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44823</v>
      </c>
      <c r="E13" s="1" t="n">
        <v>46225</v>
      </c>
      <c r="F13" t="inlineStr">
        <is>
          <t>SKÅNE LÄN</t>
        </is>
      </c>
      <c r="G13" t="inlineStr">
        <is>
          <t>YSTAD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46225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49549-2025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45939</v>
      </c>
      <c r="E15" s="1" t="n">
        <v>46225</v>
      </c>
      <c r="F15" t="inlineStr">
        <is>
          <t>SKÅNE LÄN</t>
        </is>
      </c>
      <c r="G15" t="inlineStr">
        <is>
          <t>YSTAD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34302-2024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45524</v>
      </c>
      <c r="E16" s="1" t="n">
        <v>46225</v>
      </c>
      <c r="F16" t="inlineStr">
        <is>
          <t>SKÅNE LÄN</t>
        </is>
      </c>
      <c r="G16" t="inlineStr">
        <is>
          <t>YSTAD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27578-2026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46225</v>
      </c>
      <c r="F17" t="inlineStr">
        <is>
          <t>SKÅNE LÄN</t>
        </is>
      </c>
      <c r="G17" t="inlineStr">
        <is>
          <t>YSTAD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46225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46225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46225</v>
      </c>
      <c r="F20" t="inlineStr">
        <is>
          <t>SKÅNE LÄN</t>
        </is>
      </c>
      <c r="G20" t="inlineStr">
        <is>
          <t>YSTAD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18090-2022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44684</v>
      </c>
      <c r="E21" s="1" t="n">
        <v>46225</v>
      </c>
      <c r="F21" t="inlineStr">
        <is>
          <t>SKÅNE LÄN</t>
        </is>
      </c>
      <c r="G21" t="inlineStr">
        <is>
          <t>YSTAD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46225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2026-07-22T01:36:55Z</dcterms:created>
  <dcterms:modified xmlns:dcterms="http://purl.org/dc/terms/" xmlns:xsi="http://www.w3.org/2001/XMLSchema-instance" xsi:type="dcterms:W3CDTF">2026-07-22T01:36:55Z</dcterms:modified>
</cp:coreProperties>
</file>
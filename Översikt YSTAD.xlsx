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46204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s="1" t="n">
        <v>45939</v>
      </c>
      <c r="C3" s="1" t="n">
        <v>46204</v>
      </c>
      <c r="D3" t="inlineStr">
        <is>
          <t>SKÅNE LÄN</t>
        </is>
      </c>
      <c r="E3" t="inlineStr">
        <is>
          <t>YSTAD</t>
        </is>
      </c>
      <c r="G3" t="n">
        <v>4.4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Igelkottsröksvamp</t>
        </is>
      </c>
      <c r="S3">
        <f>HYPERLINK("https://klasma.github.io/Logging_1286/artfynd/A 49546-2025 artfynd.xlsx", "A 49546-2025")</f>
        <v/>
      </c>
      <c r="T3">
        <f>HYPERLINK("https://klasma.github.io/Logging_1286/kartor/A 49546-2025 karta.png", "A 49546-2025")</f>
        <v/>
      </c>
      <c r="V3">
        <f>HYPERLINK("https://klasma.github.io/Logging_1286/klagomål/A 49546-2025 FSC-klagomål.docx", "A 49546-2025")</f>
        <v/>
      </c>
      <c r="W3">
        <f>HYPERLINK("https://klasma.github.io/Logging_1286/klagomålsmail/A 49546-2025 FSC-klagomål mail.docx", "A 49546-2025")</f>
        <v/>
      </c>
      <c r="X3">
        <f>HYPERLINK("https://klasma.github.io/Logging_1286/tillsyn/A 49546-2025 tillsynsbegäran.docx", "A 49546-2025")</f>
        <v/>
      </c>
      <c r="Y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s="1" t="n">
        <v>44903</v>
      </c>
      <c r="C4" s="1" t="n">
        <v>46204</v>
      </c>
      <c r="D4" t="inlineStr">
        <is>
          <t>SKÅNE LÄN</t>
        </is>
      </c>
      <c r="E4" t="inlineStr">
        <is>
          <t>YSTAD</t>
        </is>
      </c>
      <c r="G4" t="n">
        <v>1.1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Klockgroda
Ätlig groda</t>
        </is>
      </c>
      <c r="S4">
        <f>HYPERLINK("https://klasma.github.io/Logging_1286/artfynd/A 60295-2022 artfynd.xlsx", "A 60295-2022")</f>
        <v/>
      </c>
      <c r="T4">
        <f>HYPERLINK("https://klasma.github.io/Logging_1286/kartor/A 60295-2022 karta.png", "A 60295-2022")</f>
        <v/>
      </c>
      <c r="V4">
        <f>HYPERLINK("https://klasma.github.io/Logging_1286/klagomål/A 60295-2022 FSC-klagomål.docx", "A 60295-2022")</f>
        <v/>
      </c>
      <c r="W4">
        <f>HYPERLINK("https://klasma.github.io/Logging_1286/klagomålsmail/A 60295-2022 FSC-klagomål mail.docx", "A 60295-2022")</f>
        <v/>
      </c>
      <c r="X4">
        <f>HYPERLINK("https://klasma.github.io/Logging_1286/tillsyn/A 60295-2022 tillsynsbegäran.docx", "A 60295-2022")</f>
        <v/>
      </c>
      <c r="Y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46204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Skogsveronika
Skärmstarr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46204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46204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46204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s="1" t="n">
        <v>45939</v>
      </c>
      <c r="C9" s="1" t="n">
        <v>46204</v>
      </c>
      <c r="D9" t="inlineStr">
        <is>
          <t>SKÅNE LÄN</t>
        </is>
      </c>
      <c r="E9" t="inlineStr">
        <is>
          <t>YSTAD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Svartöra</t>
        </is>
      </c>
      <c r="S9">
        <f>HYPERLINK("https://klasma.github.io/Logging_1286/artfynd/A 49543-2025 artfynd.xlsx", "A 49543-2025")</f>
        <v/>
      </c>
      <c r="T9">
        <f>HYPERLINK("https://klasma.github.io/Logging_1286/kartor/A 49543-2025 karta.png", "A 49543-2025")</f>
        <v/>
      </c>
      <c r="V9">
        <f>HYPERLINK("https://klasma.github.io/Logging_1286/klagomål/A 49543-2025 FSC-klagomål.docx", "A 49543-2025")</f>
        <v/>
      </c>
      <c r="W9">
        <f>HYPERLINK("https://klasma.github.io/Logging_1286/klagomålsmail/A 49543-2025 FSC-klagomål mail.docx", "A 49543-2025")</f>
        <v/>
      </c>
      <c r="X9">
        <f>HYPERLINK("https://klasma.github.io/Logging_1286/tillsyn/A 49543-2025 tillsynsbegäran.docx", "A 49543-2025")</f>
        <v/>
      </c>
      <c r="Y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46204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s="1" t="n">
        <v>45525</v>
      </c>
      <c r="C11" s="1" t="n">
        <v>46204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HYPERLINK("https://klasma.github.io/Logging_1286/artfynd/A 34341-2024 artfynd.xlsx", "A 34341-2024")</f>
        <v/>
      </c>
      <c r="T11">
        <f>HYPERLINK("https://klasma.github.io/Logging_1286/kartor/A 34341-2024 karta.png", "A 34341-2024")</f>
        <v/>
      </c>
      <c r="V11">
        <f>HYPERLINK("https://klasma.github.io/Logging_1286/klagomål/A 34341-2024 FSC-klagomål.docx", "A 34341-2024")</f>
        <v/>
      </c>
      <c r="W11">
        <f>HYPERLINK("https://klasma.github.io/Logging_1286/klagomålsmail/A 34341-2024 FSC-klagomål mail.docx", "A 34341-2024")</f>
        <v/>
      </c>
      <c r="X11">
        <f>HYPERLINK("https://klasma.github.io/Logging_1286/tillsyn/A 34341-2024 tillsynsbegäran.docx", "A 34341-2024")</f>
        <v/>
      </c>
      <c r="Y11">
        <f>HYPERLINK("https://klasma.github.io/Logging_1286/tillsynsmail/A 34341-2024 tillsynsbegäran mail.docx", "A 34341-2024")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46204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46204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46204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</v>
      </c>
      <c r="C15" s="1" t="n">
        <v>46204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</v>
      </c>
      <c r="C16" s="1" t="n">
        <v>46204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46204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46204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46204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46204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46204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</v>
      </c>
      <c r="C22" s="1" t="n">
        <v>46204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27578-2026</t>
        </is>
      </c>
      <c r="B23" s="1" t="n">
        <v>46190</v>
      </c>
      <c r="C23" s="1" t="n">
        <v>46204</v>
      </c>
      <c r="D23" t="inlineStr">
        <is>
          <t>SKÅNE LÄN</t>
        </is>
      </c>
      <c r="E23" t="inlineStr">
        <is>
          <t>YSTAD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46204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2026-07-01T00:59:20Z</dcterms:created>
  <dcterms:modified xmlns:dcterms="http://purl.org/dc/terms/" xmlns:xsi="http://www.w3.org/2001/XMLSchema-instance" xsi:type="dcterms:W3CDTF">2026-07-01T00:59:20Z</dcterms:modified>
</cp:coreProperties>
</file>
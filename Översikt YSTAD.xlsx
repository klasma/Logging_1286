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45694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7.5</v>
      </c>
      <c r="H2" t="n">
        <v>5</v>
      </c>
      <c r="I2" t="n">
        <v>2</v>
      </c>
      <c r="J2" t="n">
        <v>4</v>
      </c>
      <c r="K2" t="n">
        <v>0</v>
      </c>
      <c r="L2" t="n">
        <v>0</v>
      </c>
      <c r="M2" t="n">
        <v>1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Gotländsk hättemossa
Björktrast
Havsörn
Mindre hackspett
Spillkråka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  <c r="Z2">
        <f>HYPERLINK("https://klasma.github.io/Logging_1286/fåglar/A 3253-2025 prioriterade fågelarter.docx",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45694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29376-2020</t>
        </is>
      </c>
      <c r="B4" s="1" t="n">
        <v>44000</v>
      </c>
      <c r="C4" s="1" t="n">
        <v>45694</v>
      </c>
      <c r="D4" t="inlineStr">
        <is>
          <t>SKÅNE LÄN</t>
        </is>
      </c>
      <c r="E4" t="inlineStr">
        <is>
          <t>YSTAD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29376-2020 artfynd.xlsx", "A 29376-2020")</f>
        <v/>
      </c>
      <c r="T4">
        <f>HYPERLINK("https://klasma.github.io/Logging_1286/kartor/A 29376-2020 karta.png", "A 29376-2020")</f>
        <v/>
      </c>
      <c r="V4">
        <f>HYPERLINK("https://klasma.github.io/Logging_1286/klagomål/A 29376-2020 FSC-klagomål.docx", "A 29376-2020")</f>
        <v/>
      </c>
      <c r="W4">
        <f>HYPERLINK("https://klasma.github.io/Logging_1286/klagomålsmail/A 29376-2020 FSC-klagomål mail.docx", "A 29376-2020")</f>
        <v/>
      </c>
      <c r="X4">
        <f>HYPERLINK("https://klasma.github.io/Logging_1286/tillsyn/A 29376-2020 tillsynsbegäran.docx", "A 29376-2020")</f>
        <v/>
      </c>
      <c r="Y4">
        <f>HYPERLINK("https://klasma.github.io/Logging_1286/tillsynsmail/A 29376-2020 tillsynsbegäran mail.docx", "A 29376-2020")</f>
        <v/>
      </c>
    </row>
    <row r="5" ht="15" customHeight="1">
      <c r="A5" t="inlineStr">
        <is>
          <t>A 29858-2022</t>
        </is>
      </c>
      <c r="B5" s="1" t="n">
        <v>44756</v>
      </c>
      <c r="C5" s="1" t="n">
        <v>45694</v>
      </c>
      <c r="D5" t="inlineStr">
        <is>
          <t>SKÅNE LÄN</t>
        </is>
      </c>
      <c r="E5" t="inlineStr">
        <is>
          <t>YSTAD</t>
        </is>
      </c>
      <c r="G5" t="n">
        <v>0.5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HYPERLINK("https://klasma.github.io/Logging_1286/artfynd/A 29858-2022 artfynd.xlsx", "A 29858-2022")</f>
        <v/>
      </c>
      <c r="T5">
        <f>HYPERLINK("https://klasma.github.io/Logging_1286/kartor/A 29858-2022 karta.png", "A 29858-2022")</f>
        <v/>
      </c>
      <c r="V5">
        <f>HYPERLINK("https://klasma.github.io/Logging_1286/klagomål/A 29858-2022 FSC-klagomål.docx", "A 29858-2022")</f>
        <v/>
      </c>
      <c r="W5">
        <f>HYPERLINK("https://klasma.github.io/Logging_1286/klagomålsmail/A 29858-2022 FSC-klagomål mail.docx", "A 29858-2022")</f>
        <v/>
      </c>
      <c r="X5">
        <f>HYPERLINK("https://klasma.github.io/Logging_1286/tillsyn/A 29858-2022 tillsynsbegäran.docx", "A 29858-2022")</f>
        <v/>
      </c>
      <c r="Y5">
        <f>HYPERLINK("https://klasma.github.io/Logging_1286/tillsynsmail/A 29858-2022 tillsynsbegäran mail.docx", "A 29858-2022")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45694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45694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45694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45694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45694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35367-2019</t>
        </is>
      </c>
      <c r="B11" s="1" t="n">
        <v>43651</v>
      </c>
      <c r="C11" s="1" t="n">
        <v>45694</v>
      </c>
      <c r="D11" t="inlineStr">
        <is>
          <t>SKÅNE LÄN</t>
        </is>
      </c>
      <c r="E11" t="inlineStr">
        <is>
          <t>YSTAD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39830-2019</t>
        </is>
      </c>
      <c r="B12" s="1" t="n">
        <v>43689</v>
      </c>
      <c r="C12" s="1" t="n">
        <v>45694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10310-2020</t>
        </is>
      </c>
      <c r="B13" s="1" t="n">
        <v>43887</v>
      </c>
      <c r="C13" s="1" t="n">
        <v>45694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29391-2020</t>
        </is>
      </c>
      <c r="B14" s="1" t="n">
        <v>44000</v>
      </c>
      <c r="C14" s="1" t="n">
        <v>45694</v>
      </c>
      <c r="D14" t="inlineStr">
        <is>
          <t>SKÅNE LÄN</t>
        </is>
      </c>
      <c r="E14" t="inlineStr">
        <is>
          <t>YSTAD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29377-2020</t>
        </is>
      </c>
      <c r="B15" s="1" t="n">
        <v>44000</v>
      </c>
      <c r="C15" s="1" t="n">
        <v>45694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29395-2020</t>
        </is>
      </c>
      <c r="B16" s="1" t="n">
        <v>44000</v>
      </c>
      <c r="C16" s="1" t="n">
        <v>45694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45694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55066-2020</t>
        </is>
      </c>
      <c r="B18" s="1" t="n">
        <v>44127</v>
      </c>
      <c r="C18" s="1" t="n">
        <v>45694</v>
      </c>
      <c r="D18" t="inlineStr">
        <is>
          <t>SKÅNE LÄN</t>
        </is>
      </c>
      <c r="E18" t="inlineStr">
        <is>
          <t>YSTAD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45694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26461-2021</t>
        </is>
      </c>
      <c r="B20" s="1" t="n">
        <v>44348</v>
      </c>
      <c r="C20" s="1" t="n">
        <v>45694</v>
      </c>
      <c r="D20" t="inlineStr">
        <is>
          <t>SKÅNE LÄN</t>
        </is>
      </c>
      <c r="E20" t="inlineStr">
        <is>
          <t>YSTAD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36951-2021</t>
        </is>
      </c>
      <c r="B21" s="1" t="n">
        <v>44393</v>
      </c>
      <c r="C21" s="1" t="n">
        <v>45694</v>
      </c>
      <c r="D21" t="inlineStr">
        <is>
          <t>SKÅNE LÄN</t>
        </is>
      </c>
      <c r="E21" t="inlineStr">
        <is>
          <t>YSTAD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36947-2021</t>
        </is>
      </c>
      <c r="B22" s="1" t="n">
        <v>44393</v>
      </c>
      <c r="C22" s="1" t="n">
        <v>45694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6632-2022</t>
        </is>
      </c>
      <c r="B23" s="1" t="n">
        <v>44601</v>
      </c>
      <c r="C23" s="1" t="n">
        <v>45694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9655-2022</t>
        </is>
      </c>
      <c r="B24" s="1" t="n">
        <v>44617</v>
      </c>
      <c r="C24" s="1" t="n">
        <v>45694</v>
      </c>
      <c r="D24" t="inlineStr">
        <is>
          <t>SKÅNE LÄN</t>
        </is>
      </c>
      <c r="E24" t="inlineStr">
        <is>
          <t>YSTAD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18090-2022</t>
        </is>
      </c>
      <c r="B25" s="1" t="n">
        <v>44684</v>
      </c>
      <c r="C25" s="1" t="n">
        <v>45694</v>
      </c>
      <c r="D25" t="inlineStr">
        <is>
          <t>SKÅNE LÄN</t>
        </is>
      </c>
      <c r="E25" t="inlineStr">
        <is>
          <t>YSTAD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40417-2022</t>
        </is>
      </c>
      <c r="B26" s="1" t="n">
        <v>44823</v>
      </c>
      <c r="C26" s="1" t="n">
        <v>45694</v>
      </c>
      <c r="D26" t="inlineStr">
        <is>
          <t>SKÅNE LÄN</t>
        </is>
      </c>
      <c r="E26" t="inlineStr">
        <is>
          <t>YSTAD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45694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45694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45694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45694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45694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60803-2023</t>
        </is>
      </c>
      <c r="B32" s="1" t="n">
        <v>45260</v>
      </c>
      <c r="C32" s="1" t="n">
        <v>45694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10172-2024</t>
        </is>
      </c>
      <c r="B33" s="1" t="n">
        <v>45364</v>
      </c>
      <c r="C33" s="1" t="n">
        <v>45694</v>
      </c>
      <c r="D33" t="inlineStr">
        <is>
          <t>SKÅNE LÄN</t>
        </is>
      </c>
      <c r="E33" t="inlineStr">
        <is>
          <t>YSTAD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32596-2024</t>
        </is>
      </c>
      <c r="B34" s="1" t="n">
        <v>45513</v>
      </c>
      <c r="C34" s="1" t="n">
        <v>45694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32590-2024</t>
        </is>
      </c>
      <c r="B35" s="1" t="n">
        <v>45513</v>
      </c>
      <c r="C35" s="1" t="n">
        <v>45694</v>
      </c>
      <c r="D35" t="inlineStr">
        <is>
          <t>SKÅNE LÄN</t>
        </is>
      </c>
      <c r="E35" t="inlineStr">
        <is>
          <t>YSTAD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34302-2024</t>
        </is>
      </c>
      <c r="B36" s="1" t="n">
        <v>45524</v>
      </c>
      <c r="C36" s="1" t="n">
        <v>45694</v>
      </c>
      <c r="D36" t="inlineStr">
        <is>
          <t>SKÅNE LÄN</t>
        </is>
      </c>
      <c r="E36" t="inlineStr">
        <is>
          <t>YSTAD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34310-2024</t>
        </is>
      </c>
      <c r="B37" s="1" t="n">
        <v>45524</v>
      </c>
      <c r="C37" s="1" t="n">
        <v>45694</v>
      </c>
      <c r="D37" t="inlineStr">
        <is>
          <t>SKÅNE LÄN</t>
        </is>
      </c>
      <c r="E37" t="inlineStr">
        <is>
          <t>YSTAD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60888-2024</t>
        </is>
      </c>
      <c r="B38" s="1" t="n">
        <v>45644</v>
      </c>
      <c r="C38" s="1" t="n">
        <v>45694</v>
      </c>
      <c r="D38" t="inlineStr">
        <is>
          <t>SKÅNE LÄN</t>
        </is>
      </c>
      <c r="E38" t="inlineStr">
        <is>
          <t>YSTAD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2025-02-06T16:49:34Z</dcterms:created>
  <dcterms:modified xmlns:dcterms="http://purl.org/dc/terms/" xmlns:xsi="http://www.w3.org/2001/XMLSchema-instance" xsi:type="dcterms:W3CDTF">2025-02-06T16:49:34Z</dcterms:modified>
</cp:coreProperties>
</file>
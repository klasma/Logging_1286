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46269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46269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46269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46269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46269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34341-2024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45525</v>
      </c>
      <c r="E7" s="1" t="n">
        <v>46269</v>
      </c>
      <c r="F7" t="inlineStr">
        <is>
          <t>SKÅNE LÄN</t>
        </is>
      </c>
      <c r="G7" t="inlineStr">
        <is>
          <t>YSTAD</t>
        </is>
      </c>
      <c r="H7" t="inlineStr">
        <is>
          <t>Övriga Aktiebolag</t>
        </is>
      </c>
      <c r="I7" t="n">
        <v>14.4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Desmeknopp</t>
        </is>
      </c>
      <c r="W7">
        <f>HYPERLINK("https://klasma.github.io/Logging_1286/artfynd/A 34341-2024 artfynd.xlsx", "A 34341-2024")</f>
        <v/>
      </c>
      <c r="X7">
        <f>HYPERLINK("https://klasma.github.io/Logging_1286/kartor/A 34341-2024 karta.png", "A 34341-2024")</f>
        <v/>
      </c>
      <c r="Y7">
        <f>HYPERLINK("https://klasma.github.io/Logging_1286/kartor_geotiff/A 34341-2024 georefererad karta.tif", "A 34341-2024")</f>
        <v/>
      </c>
      <c r="AA7">
        <f>HYPERLINK("https://klasma.github.io/Logging_1286/klagomål/A 34341-2024 FSC-klagomål.docx", "A 34341-2024")</f>
        <v/>
      </c>
      <c r="AB7">
        <f>HYPERLINK("https://klasma.github.io/Logging_1286/klagomålsmail/A 34341-2024 FSC-klagomål mail.docx", "A 34341-2024")</f>
        <v/>
      </c>
      <c r="AC7">
        <f>HYPERLINK("https://klasma.github.io/Logging_1286/tillsyn/A 34341-2024 tillsynsbegäran.docx", "A 34341-2024")</f>
        <v/>
      </c>
      <c r="AD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46269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13766-2023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45007</v>
      </c>
      <c r="E9" s="1" t="n">
        <v>46269</v>
      </c>
      <c r="F9" t="inlineStr">
        <is>
          <t>SKÅNE LÄN</t>
        </is>
      </c>
      <c r="G9" t="inlineStr">
        <is>
          <t>YSTAD</t>
        </is>
      </c>
      <c r="I9" t="n">
        <v>0.9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HYPERLINK("https://klasma.github.io/Logging_1286/artfynd/A 13766-2023 artfynd.xlsx", "A 13766-2023")</f>
        <v/>
      </c>
      <c r="X9">
        <f>HYPERLINK("https://klasma.github.io/Logging_1286/kartor/A 13766-2023 karta.png", "A 13766-2023")</f>
        <v/>
      </c>
      <c r="Y9">
        <f>HYPERLINK("https://klasma.github.io/Logging_1286/kartor_geotiff/A 13766-2023 georefererad karta.tif", "A 13766-2023")</f>
        <v/>
      </c>
      <c r="AA9">
        <f>HYPERLINK("https://klasma.github.io/Logging_1286/klagomål/A 13766-2023 FSC-klagomål.docx", "A 13766-2023")</f>
        <v/>
      </c>
      <c r="AB9">
        <f>HYPERLINK("https://klasma.github.io/Logging_1286/klagomålsmail/A 13766-2023 FSC-klagomål mail.docx", "A 13766-2023")</f>
        <v/>
      </c>
      <c r="AC9">
        <f>HYPERLINK("https://klasma.github.io/Logging_1286/tillsyn/A 13766-2023 tillsynsbegäran.docx", "A 13766-2023")</f>
        <v/>
      </c>
      <c r="AD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46269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46269</v>
      </c>
      <c r="F11" t="inlineStr">
        <is>
          <t>SKÅNE LÄN</t>
        </is>
      </c>
      <c r="G11" t="inlineStr">
        <is>
          <t>YSTAD</t>
        </is>
      </c>
      <c r="I11" t="n">
        <v>1.4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Svartöra</t>
        </is>
      </c>
      <c r="W11">
        <f>HYPERLINK("https://klasma.github.io/Logging_1286/artfynd/A 49543-2025 artfynd.xlsx", "A 49543-2025")</f>
        <v/>
      </c>
      <c r="X11">
        <f>HYPERLINK("https://klasma.github.io/Logging_1286/kartor/A 49543-2025 karta.png", "A 49543-2025")</f>
        <v/>
      </c>
      <c r="Y11">
        <f>HYPERLINK("https://klasma.github.io/Logging_1286/kartor_geotiff/A 49543-2025 georefererad karta.tif", "A 49543-2025")</f>
        <v/>
      </c>
      <c r="AA11">
        <f>HYPERLINK("https://klasma.github.io/Logging_1286/klagomål/A 49543-2025 FSC-klagomål.docx", "A 49543-2025")</f>
        <v/>
      </c>
      <c r="AB11">
        <f>HYPERLINK("https://klasma.github.io/Logging_1286/klagomålsmail/A 49543-2025 FSC-klagomål mail.docx", "A 49543-2025")</f>
        <v/>
      </c>
      <c r="AC11">
        <f>HYPERLINK("https://klasma.github.io/Logging_1286/tillsyn/A 49543-2025 tillsynsbegäran.docx", "A 49543-2025")</f>
        <v/>
      </c>
      <c r="AD11">
        <f>HYPERLINK("https://klasma.github.io/Logging_1286/tillsynsmail/A 49543-2025 tillsynsbegäran mail.docx", "A 49543-2025")</f>
        <v/>
      </c>
    </row>
    <row r="12" ht="15" customHeight="1">
      <c r="A12" t="inlineStr">
        <is>
          <t>A 49549-2025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46269</v>
      </c>
      <c r="F12" t="inlineStr">
        <is>
          <t>SKÅNE LÄN</t>
        </is>
      </c>
      <c r="G12" t="inlineStr">
        <is>
          <t>YSTAD</t>
        </is>
      </c>
      <c r="I12" t="n">
        <v>0.5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Noshornsoxe</t>
        </is>
      </c>
      <c r="W12">
        <f>HYPERLINK("https://klasma.github.io/Logging_1286/artfynd/A 49549-2025 artfynd.xlsx", "A 49549-2025")</f>
        <v/>
      </c>
      <c r="X12">
        <f>HYPERLINK("https://klasma.github.io/Logging_1286/kartor/A 49549-2025 karta.png", "A 49549-2025")</f>
        <v/>
      </c>
      <c r="Y12">
        <f>HYPERLINK("https://klasma.github.io/Logging_1286/kartor_geotiff/A 49549-2025 georefererad karta.tif", "A 49549-2025")</f>
        <v/>
      </c>
      <c r="AA12">
        <f>HYPERLINK("https://klasma.github.io/Logging_1286/klagomål/A 49549-2025 FSC-klagomål.docx", "A 49549-2025")</f>
        <v/>
      </c>
      <c r="AB12">
        <f>HYPERLINK("https://klasma.github.io/Logging_1286/klagomålsmail/A 49549-2025 FSC-klagomål mail.docx", "A 49549-2025")</f>
        <v/>
      </c>
      <c r="AC12">
        <f>HYPERLINK("https://klasma.github.io/Logging_1286/tillsyn/A 49549-2025 tillsynsbegäran.docx", "A 49549-2025")</f>
        <v/>
      </c>
      <c r="AD12">
        <f>HYPERLINK("https://klasma.github.io/Logging_1286/tillsynsmail/A 49549-2025 tillsynsbegäran mail.docx", "A 49549-2025")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46269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60803-2023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45260</v>
      </c>
      <c r="E14" s="1" t="n">
        <v>46269</v>
      </c>
      <c r="F14" t="inlineStr">
        <is>
          <t>SKÅNE LÄN</t>
        </is>
      </c>
      <c r="G14" t="inlineStr">
        <is>
          <t>YSTAD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46269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38631-2023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45162</v>
      </c>
      <c r="E16" s="1" t="n">
        <v>46269</v>
      </c>
      <c r="F16" t="inlineStr">
        <is>
          <t>SKÅNE LÄN</t>
        </is>
      </c>
      <c r="G16" t="inlineStr">
        <is>
          <t>YSTAD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18090-2022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44684</v>
      </c>
      <c r="E17" s="1" t="n">
        <v>46269</v>
      </c>
      <c r="F17" t="inlineStr">
        <is>
          <t>SKÅNE LÄN</t>
        </is>
      </c>
      <c r="G17" t="inlineStr">
        <is>
          <t>YSTAD</t>
        </is>
      </c>
      <c r="I17" t="n">
        <v>4.9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32596-2024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45513</v>
      </c>
      <c r="E18" s="1" t="n">
        <v>46269</v>
      </c>
      <c r="F18" t="inlineStr">
        <is>
          <t>SKÅNE LÄN</t>
        </is>
      </c>
      <c r="G18" t="inlineStr">
        <is>
          <t>YSTAD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34302-2024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45524</v>
      </c>
      <c r="E19" s="1" t="n">
        <v>46269</v>
      </c>
      <c r="F19" t="inlineStr">
        <is>
          <t>SKÅNE LÄN</t>
        </is>
      </c>
      <c r="G19" t="inlineStr">
        <is>
          <t>YSTAD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46269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46269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46269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2026-09-04T02:07:56Z</dcterms:created>
  <dcterms:modified xmlns:dcterms="http://purl.org/dc/terms/" xmlns:xsi="http://www.w3.org/2001/XMLSchema-instance" xsi:type="dcterms:W3CDTF">2026-09-04T02:07:56Z</dcterms:modified>
</cp:coreProperties>
</file>
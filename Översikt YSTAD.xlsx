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31213-2023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45113</v>
      </c>
      <c r="E2" s="1" t="n">
        <v>46315</v>
      </c>
      <c r="F2" t="inlineStr">
        <is>
          <t>SKÅNE LÄN</t>
        </is>
      </c>
      <c r="G2" t="inlineStr">
        <is>
          <t>YSTAD</t>
        </is>
      </c>
      <c r="I2" t="n">
        <v>6.5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2</v>
      </c>
      <c r="T2" t="n">
        <v>3</v>
      </c>
      <c r="U2" t="n">
        <v>3</v>
      </c>
      <c r="V2" s="2" t="inlineStr">
        <is>
          <t>Skogsveronika
Skärmstarr</t>
        </is>
      </c>
      <c r="W2">
        <f>HYPERLINK("https://klasma.github.io/Logging_1286/artfynd/A 31213-2023 artfynd.xlsx", "A 31213-2023")</f>
        <v/>
      </c>
      <c r="X2">
        <f>HYPERLINK("https://klasma.github.io/Logging_1286/kartor/A 31213-2023 karta.png", "A 31213-2023")</f>
        <v/>
      </c>
      <c r="Y2">
        <f>HYPERLINK("https://klasma.github.io/Logging_1286/kartor_geotiff/A 31213-2023 georefererad karta.tif", "A 31213-2023")</f>
        <v/>
      </c>
      <c r="AA2">
        <f>HYPERLINK("https://klasma.github.io/Logging_1286/klagomål/A 31213-2023 FSC-klagomål.docx", "A 31213-2023")</f>
        <v/>
      </c>
      <c r="AB2">
        <f>HYPERLINK("https://klasma.github.io/Logging_1286/klagomålsmail/A 31213-2023 FSC-klagomål mail.docx", "A 31213-2023")</f>
        <v/>
      </c>
      <c r="AC2">
        <f>HYPERLINK("https://klasma.github.io/Logging_1286/tillsyn/A 31213-2023 tillsynsbegäran.docx", "A 31213-2023")</f>
        <v/>
      </c>
      <c r="AD2">
        <f>HYPERLINK("https://klasma.github.io/Logging_1286/tillsynsmail/A 31213-2023 tillsynsbegäran mail.docx", "A 31213-2023")</f>
        <v/>
      </c>
    </row>
    <row r="3" ht="15" customHeight="1">
      <c r="A3" t="inlineStr">
        <is>
          <t>A 3253-2025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45679</v>
      </c>
      <c r="E3" s="1" t="n">
        <v>46315</v>
      </c>
      <c r="F3" t="inlineStr">
        <is>
          <t>SKÅNE LÄN</t>
        </is>
      </c>
      <c r="G3" t="inlineStr">
        <is>
          <t>YSTAD</t>
        </is>
      </c>
      <c r="H3" t="inlineStr">
        <is>
          <t>Övriga Aktiebolag</t>
        </is>
      </c>
      <c r="I3" t="n">
        <v>2.5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3</v>
      </c>
      <c r="U3" t="n">
        <v>1</v>
      </c>
      <c r="V3" s="2" t="inlineStr">
        <is>
          <t>Lönnlav
Strävlosta</t>
        </is>
      </c>
      <c r="W3">
        <f>HYPERLINK("https://klasma.github.io/Logging_1286/artfynd/A 3253-2025 artfynd.xlsx", "A 3253-2025")</f>
        <v/>
      </c>
      <c r="X3">
        <f>HYPERLINK("https://klasma.github.io/Logging_1286/kartor/A 3253-2025 karta.png", "A 3253-2025")</f>
        <v/>
      </c>
      <c r="Y3">
        <f>HYPERLINK("https://klasma.github.io/Logging_1286/kartor_geotiff/A 3253-2025 georefererad karta.tif", "A 3253-2025")</f>
        <v/>
      </c>
      <c r="AA3">
        <f>HYPERLINK("https://klasma.github.io/Logging_1286/klagomål/A 3253-2025 FSC-klagomål.docx", "A 3253-2025")</f>
        <v/>
      </c>
      <c r="AB3">
        <f>HYPERLINK("https://klasma.github.io/Logging_1286/klagomålsmail/A 3253-2025 FSC-klagomål mail.docx", "A 3253-2025")</f>
        <v/>
      </c>
      <c r="AC3">
        <f>HYPERLINK("https://klasma.github.io/Logging_1286/tillsyn/A 3253-2025 tillsynsbegäran.docx", "A 3253-2025")</f>
        <v/>
      </c>
      <c r="AD3">
        <f>HYPERLINK("https://klasma.github.io/Logging_1286/tillsynsmail/A 3253-2025 tillsynsbegäran mail.docx", "A 3253-2025")</f>
        <v/>
      </c>
    </row>
    <row r="4" ht="15" customHeight="1">
      <c r="A4" t="inlineStr">
        <is>
          <t>A 49546-2025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45939</v>
      </c>
      <c r="E4" s="1" t="n">
        <v>46315</v>
      </c>
      <c r="F4" t="inlineStr">
        <is>
          <t>SKÅNE LÄN</t>
        </is>
      </c>
      <c r="G4" t="inlineStr">
        <is>
          <t>YSTAD</t>
        </is>
      </c>
      <c r="I4" t="n">
        <v>4.4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2</v>
      </c>
      <c r="T4" t="n">
        <v>2</v>
      </c>
      <c r="U4" t="n">
        <v>0</v>
      </c>
      <c r="V4" s="2" t="inlineStr">
        <is>
          <t>Skogsalm
Igelkottsröksvamp</t>
        </is>
      </c>
      <c r="W4">
        <f>HYPERLINK("https://klasma.github.io/Logging_1286/artfynd/A 49546-2025 artfynd.xlsx", "A 49546-2025")</f>
        <v/>
      </c>
      <c r="X4">
        <f>HYPERLINK("https://klasma.github.io/Logging_1286/kartor/A 49546-2025 karta.png", "A 49546-2025")</f>
        <v/>
      </c>
      <c r="Y4">
        <f>HYPERLINK("https://klasma.github.io/Logging_1286/kartor_geotiff/A 49546-2025 georefererad karta.tif", "A 49546-2025")</f>
        <v/>
      </c>
      <c r="AA4">
        <f>HYPERLINK("https://klasma.github.io/Logging_1286/klagomål/A 49546-2025 FSC-klagomål.docx", "A 49546-2025")</f>
        <v/>
      </c>
      <c r="AB4">
        <f>HYPERLINK("https://klasma.github.io/Logging_1286/klagomålsmail/A 49546-2025 FSC-klagomål mail.docx", "A 49546-2025")</f>
        <v/>
      </c>
      <c r="AC4">
        <f>HYPERLINK("https://klasma.github.io/Logging_1286/tillsyn/A 49546-2025 tillsynsbegäran.docx", "A 49546-2025")</f>
        <v/>
      </c>
      <c r="AD4">
        <f>HYPERLINK("https://klasma.github.io/Logging_1286/tillsynsmail/A 49546-2025 tillsynsbegäran mail.docx", "A 49546-2025")</f>
        <v/>
      </c>
    </row>
    <row r="5" ht="15" customHeight="1">
      <c r="A5" t="inlineStr">
        <is>
          <t>A 60295-2022</t>
        </is>
      </c>
      <c r="B5" t="inlineStr">
        <is>
          <t>avverkningsanmälan</t>
        </is>
      </c>
      <c r="C5" t="inlineStr">
        <is>
          <t>Avverkning för annat ändamål</t>
        </is>
      </c>
      <c r="D5" s="1" t="n">
        <v>44903</v>
      </c>
      <c r="E5" s="1" t="n">
        <v>46315</v>
      </c>
      <c r="F5" t="inlineStr">
        <is>
          <t>SKÅNE LÄN</t>
        </is>
      </c>
      <c r="G5" t="inlineStr">
        <is>
          <t>YSTAD</t>
        </is>
      </c>
      <c r="I5" t="n">
        <v>1.1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5</v>
      </c>
      <c r="U5" t="n">
        <v>5</v>
      </c>
      <c r="V5" s="2" t="inlineStr">
        <is>
          <t>Klockgroda
Ätlig groda</t>
        </is>
      </c>
      <c r="W5">
        <f>HYPERLINK("https://klasma.github.io/Logging_1286/artfynd/A 60295-2022 artfynd.xlsx", "A 60295-2022")</f>
        <v/>
      </c>
      <c r="X5">
        <f>HYPERLINK("https://klasma.github.io/Logging_1286/kartor/A 60295-2022 karta.png", "A 60295-2022")</f>
        <v/>
      </c>
      <c r="Y5">
        <f>HYPERLINK("https://klasma.github.io/Logging_1286/kartor_geotiff/A 60295-2022 georefererad karta.tif", "A 60295-2022")</f>
        <v/>
      </c>
      <c r="AA5">
        <f>HYPERLINK("https://klasma.github.io/Logging_1286/klagomål/A 60295-2022 FSC-klagomål.docx", "A 60295-2022")</f>
        <v/>
      </c>
      <c r="AB5">
        <f>HYPERLINK("https://klasma.github.io/Logging_1286/klagomålsmail/A 60295-2022 FSC-klagomål mail.docx", "A 60295-2022")</f>
        <v/>
      </c>
      <c r="AC5">
        <f>HYPERLINK("https://klasma.github.io/Logging_1286/tillsyn/A 60295-2022 tillsynsbegäran.docx", "A 60295-2022")</f>
        <v/>
      </c>
      <c r="AD5">
        <f>HYPERLINK("https://klasma.github.io/Logging_1286/tillsynsmail/A 60295-2022 tillsynsbegäran mail.docx", "A 60295-2022")</f>
        <v/>
      </c>
    </row>
    <row r="6" ht="15" customHeight="1">
      <c r="A6" t="inlineStr">
        <is>
          <t>A 29858-2022</t>
        </is>
      </c>
      <c r="B6" t="inlineStr">
        <is>
          <t>avverkningsanmälan</t>
        </is>
      </c>
      <c r="C6" t="inlineStr">
        <is>
          <t>Avverkning för att bevara och utveckla /försöksver</t>
        </is>
      </c>
      <c r="D6" s="1" t="n">
        <v>44756</v>
      </c>
      <c r="E6" s="1" t="n">
        <v>46315</v>
      </c>
      <c r="F6" t="inlineStr">
        <is>
          <t>SKÅNE LÄN</t>
        </is>
      </c>
      <c r="G6" t="inlineStr">
        <is>
          <t>YSTAD</t>
        </is>
      </c>
      <c r="I6" t="n">
        <v>0.5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s="2" t="inlineStr">
        <is>
          <t>Igelkott</t>
        </is>
      </c>
      <c r="W6">
        <f>HYPERLINK("https://klasma.github.io/Logging_1286/artfynd/A 29858-2022 artfynd.xlsx", "A 29858-2022")</f>
        <v/>
      </c>
      <c r="X6">
        <f>HYPERLINK("https://klasma.github.io/Logging_1286/kartor/A 29858-2022 karta.png", "A 29858-2022")</f>
        <v/>
      </c>
      <c r="Y6">
        <f>HYPERLINK("https://klasma.github.io/Logging_1286/kartor_geotiff/A 29858-2022 georefererad karta.tif", "A 29858-2022")</f>
        <v/>
      </c>
      <c r="AA6">
        <f>HYPERLINK("https://klasma.github.io/Logging_1286/klagomål/A 29858-2022 FSC-klagomål.docx", "A 29858-2022")</f>
        <v/>
      </c>
      <c r="AB6">
        <f>HYPERLINK("https://klasma.github.io/Logging_1286/klagomålsmail/A 29858-2022 FSC-klagomål mail.docx", "A 29858-2022")</f>
        <v/>
      </c>
      <c r="AC6">
        <f>HYPERLINK("https://klasma.github.io/Logging_1286/tillsyn/A 29858-2022 tillsynsbegäran.docx", "A 29858-2022")</f>
        <v/>
      </c>
      <c r="AD6">
        <f>HYPERLINK("https://klasma.github.io/Logging_1286/tillsynsmail/A 29858-2022 tillsynsbegäran mail.docx", "A 29858-2022")</f>
        <v/>
      </c>
    </row>
    <row r="7" ht="15" customHeight="1">
      <c r="A7" t="inlineStr">
        <is>
          <t>A 34341-2024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45525</v>
      </c>
      <c r="E7" s="1" t="n">
        <v>46315</v>
      </c>
      <c r="F7" t="inlineStr">
        <is>
          <t>SKÅNE LÄN</t>
        </is>
      </c>
      <c r="G7" t="inlineStr">
        <is>
          <t>YSTAD</t>
        </is>
      </c>
      <c r="H7" t="inlineStr">
        <is>
          <t>Övriga Aktiebolag</t>
        </is>
      </c>
      <c r="I7" t="n">
        <v>14.4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s="2" t="inlineStr">
        <is>
          <t>Desmeknopp</t>
        </is>
      </c>
      <c r="W7">
        <f>HYPERLINK("https://klasma.github.io/Logging_1286/artfynd/A 34341-2024 artfynd.xlsx", "A 34341-2024")</f>
        <v/>
      </c>
      <c r="X7">
        <f>HYPERLINK("https://klasma.github.io/Logging_1286/kartor/A 34341-2024 karta.png", "A 34341-2024")</f>
        <v/>
      </c>
      <c r="Y7">
        <f>HYPERLINK("https://klasma.github.io/Logging_1286/kartor_geotiff/A 34341-2024 georefererad karta.tif", "A 34341-2024")</f>
        <v/>
      </c>
      <c r="AA7">
        <f>HYPERLINK("https://klasma.github.io/Logging_1286/klagomål/A 34341-2024 FSC-klagomål.docx", "A 34341-2024")</f>
        <v/>
      </c>
      <c r="AB7">
        <f>HYPERLINK("https://klasma.github.io/Logging_1286/klagomålsmail/A 34341-2024 FSC-klagomål mail.docx", "A 34341-2024")</f>
        <v/>
      </c>
      <c r="AC7">
        <f>HYPERLINK("https://klasma.github.io/Logging_1286/tillsyn/A 34341-2024 tillsynsbegäran.docx", "A 34341-2024")</f>
        <v/>
      </c>
      <c r="AD7">
        <f>HYPERLINK("https://klasma.github.io/Logging_1286/tillsynsmail/A 34341-2024 tillsynsbegäran mail.docx", "A 34341-2024")</f>
        <v/>
      </c>
    </row>
    <row r="8" ht="15" customHeight="1">
      <c r="A8" t="inlineStr">
        <is>
          <t>A 61558-2023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45265</v>
      </c>
      <c r="E8" s="1" t="n">
        <v>46315</v>
      </c>
      <c r="F8" t="inlineStr">
        <is>
          <t>SKÅNE LÄN</t>
        </is>
      </c>
      <c r="G8" t="inlineStr">
        <is>
          <t>YSTAD</t>
        </is>
      </c>
      <c r="H8" t="inlineStr">
        <is>
          <t>Övriga statliga verk och myndigheter</t>
        </is>
      </c>
      <c r="I8" t="n">
        <v>1.5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s="2" t="inlineStr">
        <is>
          <t>Ask</t>
        </is>
      </c>
      <c r="W8">
        <f>HYPERLINK("https://klasma.github.io/Logging_1286/artfynd/A 61558-2023 artfynd.xlsx", "A 61558-2023")</f>
        <v/>
      </c>
      <c r="X8">
        <f>HYPERLINK("https://klasma.github.io/Logging_1286/kartor/A 61558-2023 karta.png", "A 61558-2023")</f>
        <v/>
      </c>
      <c r="Y8">
        <f>HYPERLINK("https://klasma.github.io/Logging_1286/kartor_geotiff/A 61558-2023 georefererad karta.tif", "A 61558-2023")</f>
        <v/>
      </c>
      <c r="AA8">
        <f>HYPERLINK("https://klasma.github.io/Logging_1286/klagomål/A 61558-2023 FSC-klagomål.docx", "A 61558-2023")</f>
        <v/>
      </c>
      <c r="AB8">
        <f>HYPERLINK("https://klasma.github.io/Logging_1286/klagomålsmail/A 61558-2023 FSC-klagomål mail.docx", "A 61558-2023")</f>
        <v/>
      </c>
      <c r="AC8">
        <f>HYPERLINK("https://klasma.github.io/Logging_1286/tillsyn/A 61558-2023 tillsynsbegäran.docx", "A 61558-2023")</f>
        <v/>
      </c>
      <c r="AD8">
        <f>HYPERLINK("https://klasma.github.io/Logging_1286/tillsynsmail/A 61558-2023 tillsynsbegäran mail.docx", "A 61558-2023")</f>
        <v/>
      </c>
    </row>
    <row r="9" ht="15" customHeight="1">
      <c r="A9" t="inlineStr">
        <is>
          <t>A 49543-2025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45939</v>
      </c>
      <c r="E9" s="1" t="n">
        <v>46315</v>
      </c>
      <c r="F9" t="inlineStr">
        <is>
          <t>SKÅNE LÄN</t>
        </is>
      </c>
      <c r="G9" t="inlineStr">
        <is>
          <t>YSTAD</t>
        </is>
      </c>
      <c r="I9" t="n">
        <v>1.4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2</v>
      </c>
      <c r="U9" t="n">
        <v>0</v>
      </c>
      <c r="V9" s="2" t="inlineStr">
        <is>
          <t>Svartöra</t>
        </is>
      </c>
      <c r="W9">
        <f>HYPERLINK("https://klasma.github.io/Logging_1286/artfynd/A 49543-2025 artfynd.xlsx", "A 49543-2025")</f>
        <v/>
      </c>
      <c r="X9">
        <f>HYPERLINK("https://klasma.github.io/Logging_1286/kartor/A 49543-2025 karta.png", "A 49543-2025")</f>
        <v/>
      </c>
      <c r="Y9">
        <f>HYPERLINK("https://klasma.github.io/Logging_1286/kartor_geotiff/A 49543-2025 georefererad karta.tif", "A 49543-2025")</f>
        <v/>
      </c>
      <c r="AA9">
        <f>HYPERLINK("https://klasma.github.io/Logging_1286/klagomål/A 49543-2025 FSC-klagomål.docx", "A 49543-2025")</f>
        <v/>
      </c>
      <c r="AB9">
        <f>HYPERLINK("https://klasma.github.io/Logging_1286/klagomålsmail/A 49543-2025 FSC-klagomål mail.docx", "A 49543-2025")</f>
        <v/>
      </c>
      <c r="AC9">
        <f>HYPERLINK("https://klasma.github.io/Logging_1286/tillsyn/A 49543-2025 tillsynsbegäran.docx", "A 49543-2025")</f>
        <v/>
      </c>
      <c r="AD9">
        <f>HYPERLINK("https://klasma.github.io/Logging_1286/tillsynsmail/A 49543-2025 tillsynsbegäran mail.docx", "A 49543-2025")</f>
        <v/>
      </c>
    </row>
    <row r="10" ht="15" customHeight="1">
      <c r="A10" t="inlineStr">
        <is>
          <t>A 13766-2023</t>
        </is>
      </c>
      <c r="B10" t="inlineStr">
        <is>
          <t>avverkningsanmälan</t>
        </is>
      </c>
      <c r="C10" t="inlineStr">
        <is>
          <t>Avverkning för annat ändamål</t>
        </is>
      </c>
      <c r="D10" s="1" t="n">
        <v>45007</v>
      </c>
      <c r="E10" s="1" t="n">
        <v>46315</v>
      </c>
      <c r="F10" t="inlineStr">
        <is>
          <t>SKÅNE LÄN</t>
        </is>
      </c>
      <c r="G10" t="inlineStr">
        <is>
          <t>YSTAD</t>
        </is>
      </c>
      <c r="I10" t="n">
        <v>0.9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s="2" t="inlineStr">
        <is>
          <t>Större vattensalamander</t>
        </is>
      </c>
      <c r="W10">
        <f>HYPERLINK("https://klasma.github.io/Logging_1286/artfynd/A 13766-2023 artfynd.xlsx", "A 13766-2023")</f>
        <v/>
      </c>
      <c r="X10">
        <f>HYPERLINK("https://klasma.github.io/Logging_1286/kartor/A 13766-2023 karta.png", "A 13766-2023")</f>
        <v/>
      </c>
      <c r="Y10">
        <f>HYPERLINK("https://klasma.github.io/Logging_1286/kartor_geotiff/A 13766-2023 georefererad karta.tif", "A 13766-2023")</f>
        <v/>
      </c>
      <c r="AA10">
        <f>HYPERLINK("https://klasma.github.io/Logging_1286/klagomål/A 13766-2023 FSC-klagomål.docx", "A 13766-2023")</f>
        <v/>
      </c>
      <c r="AB10">
        <f>HYPERLINK("https://klasma.github.io/Logging_1286/klagomålsmail/A 13766-2023 FSC-klagomål mail.docx", "A 13766-2023")</f>
        <v/>
      </c>
      <c r="AC10">
        <f>HYPERLINK("https://klasma.github.io/Logging_1286/tillsyn/A 13766-2023 tillsynsbegäran.docx", "A 13766-2023")</f>
        <v/>
      </c>
      <c r="AD10">
        <f>HYPERLINK("https://klasma.github.io/Logging_1286/tillsynsmail/A 13766-2023 tillsynsbegäran mail.docx", "A 13766-2023")</f>
        <v/>
      </c>
    </row>
    <row r="11" ht="15" customHeight="1">
      <c r="A11" t="inlineStr">
        <is>
          <t>A 60891-2024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45644</v>
      </c>
      <c r="E11" s="1" t="n">
        <v>46315</v>
      </c>
      <c r="F11" t="inlineStr">
        <is>
          <t>SKÅNE LÄN</t>
        </is>
      </c>
      <c r="G11" t="inlineStr">
        <is>
          <t>YSTAD</t>
        </is>
      </c>
      <c r="I11" t="n">
        <v>16.1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s="2" t="inlineStr">
        <is>
          <t>Lövgroda</t>
        </is>
      </c>
      <c r="W11">
        <f>HYPERLINK("https://klasma.github.io/Logging_1286/artfynd/A 60891-2024 artfynd.xlsx", "A 60891-2024")</f>
        <v/>
      </c>
      <c r="X11">
        <f>HYPERLINK("https://klasma.github.io/Logging_1286/kartor/A 60891-2024 karta.png", "A 60891-2024")</f>
        <v/>
      </c>
      <c r="Y11">
        <f>HYPERLINK("https://klasma.github.io/Logging_1286/kartor_geotiff/A 60891-2024 georefererad karta.tif", "A 60891-2024")</f>
        <v/>
      </c>
      <c r="AA11">
        <f>HYPERLINK("https://klasma.github.io/Logging_1286/klagomål/A 60891-2024 FSC-klagomål.docx", "A 60891-2024")</f>
        <v/>
      </c>
      <c r="AB11">
        <f>HYPERLINK("https://klasma.github.io/Logging_1286/klagomålsmail/A 60891-2024 FSC-klagomål mail.docx", "A 60891-2024")</f>
        <v/>
      </c>
      <c r="AC11">
        <f>HYPERLINK("https://klasma.github.io/Logging_1286/tillsyn/A 60891-2024 tillsynsbegäran.docx", "A 60891-2024")</f>
        <v/>
      </c>
      <c r="AD11">
        <f>HYPERLINK("https://klasma.github.io/Logging_1286/tillsynsmail/A 60891-2024 tillsynsbegäran mail.docx", "A 60891-2024")</f>
        <v/>
      </c>
    </row>
    <row r="12" ht="15" customHeight="1">
      <c r="A12" t="inlineStr">
        <is>
          <t>A 49549-2025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45939</v>
      </c>
      <c r="E12" s="1" t="n">
        <v>46315</v>
      </c>
      <c r="F12" t="inlineStr">
        <is>
          <t>SKÅNE LÄN</t>
        </is>
      </c>
      <c r="G12" t="inlineStr">
        <is>
          <t>YSTAD</t>
        </is>
      </c>
      <c r="I12" t="n">
        <v>0.5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s="2" t="inlineStr">
        <is>
          <t>Noshornsoxe</t>
        </is>
      </c>
      <c r="W12">
        <f>HYPERLINK("https://klasma.github.io/Logging_1286/artfynd/A 49549-2025 artfynd.xlsx", "A 49549-2025")</f>
        <v/>
      </c>
      <c r="X12">
        <f>HYPERLINK("https://klasma.github.io/Logging_1286/kartor/A 49549-2025 karta.png", "A 49549-2025")</f>
        <v/>
      </c>
      <c r="Y12">
        <f>HYPERLINK("https://klasma.github.io/Logging_1286/kartor_geotiff/A 49549-2025 georefererad karta.tif", "A 49549-2025")</f>
        <v/>
      </c>
      <c r="AA12">
        <f>HYPERLINK("https://klasma.github.io/Logging_1286/klagomål/A 49549-2025 FSC-klagomål.docx", "A 49549-2025")</f>
        <v/>
      </c>
      <c r="AB12">
        <f>HYPERLINK("https://klasma.github.io/Logging_1286/klagomålsmail/A 49549-2025 FSC-klagomål mail.docx", "A 49549-2025")</f>
        <v/>
      </c>
      <c r="AC12">
        <f>HYPERLINK("https://klasma.github.io/Logging_1286/tillsyn/A 49549-2025 tillsynsbegäran.docx", "A 49549-2025")</f>
        <v/>
      </c>
      <c r="AD12">
        <f>HYPERLINK("https://klasma.github.io/Logging_1286/tillsynsmail/A 49549-2025 tillsynsbegäran mail.docx", "A 49549-2025")</f>
        <v/>
      </c>
    </row>
    <row r="13" ht="15" customHeight="1">
      <c r="A13" t="inlineStr">
        <is>
          <t>A 9655-2022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44617</v>
      </c>
      <c r="E13" s="1" t="n">
        <v>46315</v>
      </c>
      <c r="F13" t="inlineStr">
        <is>
          <t>SKÅNE LÄN</t>
        </is>
      </c>
      <c r="G13" t="inlineStr">
        <is>
          <t>YSTAD</t>
        </is>
      </c>
      <c r="I13" t="n">
        <v>2.4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40417-2022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44823</v>
      </c>
      <c r="E14" s="1" t="n">
        <v>46315</v>
      </c>
      <c r="F14" t="inlineStr">
        <is>
          <t>SKÅNE LÄN</t>
        </is>
      </c>
      <c r="G14" t="inlineStr">
        <is>
          <t>YSTAD</t>
        </is>
      </c>
      <c r="I14" t="n">
        <v>2.3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34302-2024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45524</v>
      </c>
      <c r="E15" s="1" t="n">
        <v>46315</v>
      </c>
      <c r="F15" t="inlineStr">
        <is>
          <t>SKÅNE LÄN</t>
        </is>
      </c>
      <c r="G15" t="inlineStr">
        <is>
          <t>YSTAD</t>
        </is>
      </c>
      <c r="I15" t="n">
        <v>1.9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60803-2023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45260</v>
      </c>
      <c r="E16" s="1" t="n">
        <v>46315</v>
      </c>
      <c r="F16" t="inlineStr">
        <is>
          <t>SKÅNE LÄN</t>
        </is>
      </c>
      <c r="G16" t="inlineStr">
        <is>
          <t>YSTAD</t>
        </is>
      </c>
      <c r="I16" t="n">
        <v>1.6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49536-2025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45939</v>
      </c>
      <c r="E17" s="1" t="n">
        <v>46315</v>
      </c>
      <c r="F17" t="inlineStr">
        <is>
          <t>SKÅNE LÄN</t>
        </is>
      </c>
      <c r="G17" t="inlineStr">
        <is>
          <t>YSTAD</t>
        </is>
      </c>
      <c r="I17" t="n">
        <v>1.5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38631-2023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45162</v>
      </c>
      <c r="E18" s="1" t="n">
        <v>46315</v>
      </c>
      <c r="F18" t="inlineStr">
        <is>
          <t>SKÅNE LÄN</t>
        </is>
      </c>
      <c r="G18" t="inlineStr">
        <is>
          <t>YSTAD</t>
        </is>
      </c>
      <c r="I18" t="n">
        <v>0.8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18090-2022</t>
        </is>
      </c>
      <c r="B19" t="inlineStr">
        <is>
          <t>avverkningsanmälan</t>
        </is>
      </c>
      <c r="C19" t="inlineStr">
        <is>
          <t>Avverkning för annat ändamål</t>
        </is>
      </c>
      <c r="D19" s="1" t="n">
        <v>44684</v>
      </c>
      <c r="E19" s="1" t="n">
        <v>46315</v>
      </c>
      <c r="F19" t="inlineStr">
        <is>
          <t>SKÅNE LÄN</t>
        </is>
      </c>
      <c r="G19" t="inlineStr">
        <is>
          <t>YSTAD</t>
        </is>
      </c>
      <c r="I19" t="n">
        <v>4.9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38413-2026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46282</v>
      </c>
      <c r="E20" s="1" t="n">
        <v>46315</v>
      </c>
      <c r="F20" t="inlineStr">
        <is>
          <t>SKÅNE LÄN</t>
        </is>
      </c>
      <c r="G20" t="inlineStr">
        <is>
          <t>YSTAD</t>
        </is>
      </c>
      <c r="I20" t="n">
        <v>0.6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22195-2023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45069</v>
      </c>
      <c r="E21" s="1" t="n">
        <v>46315</v>
      </c>
      <c r="F21" t="inlineStr">
        <is>
          <t>SKÅNE LÄN</t>
        </is>
      </c>
      <c r="G21" t="inlineStr">
        <is>
          <t>YSTAD</t>
        </is>
      </c>
      <c r="H21" t="inlineStr">
        <is>
          <t>Övriga Aktiebolag</t>
        </is>
      </c>
      <c r="I21" t="n">
        <v>1.1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27578-2026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46190</v>
      </c>
      <c r="E22" s="1" t="n">
        <v>46315</v>
      </c>
      <c r="F22" t="inlineStr">
        <is>
          <t>SKÅNE LÄN</t>
        </is>
      </c>
      <c r="G22" t="inlineStr">
        <is>
          <t>YSTAD</t>
        </is>
      </c>
      <c r="I22" t="n">
        <v>6.6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>
      <c r="A23" t="inlineStr">
        <is>
          <t>A 32596-2024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45513</v>
      </c>
      <c r="E23" s="1" t="n">
        <v>46315</v>
      </c>
      <c r="F23" t="inlineStr">
        <is>
          <t>SKÅNE LÄN</t>
        </is>
      </c>
      <c r="G23" t="inlineStr">
        <is>
          <t>YSTAD</t>
        </is>
      </c>
      <c r="I23" t="n">
        <v>2.6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2026-10-20T01:51:23Z</dcterms:created>
  <dcterms:modified xmlns:dcterms="http://purl.org/dc/terms/" xmlns:xsi="http://www.w3.org/2001/XMLSchema-instance" xsi:type="dcterms:W3CDTF">2026-10-20T01:51:23Z</dcterms:modified>
</cp:coreProperties>
</file>
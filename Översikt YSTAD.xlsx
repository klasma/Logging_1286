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46191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49546-2025</t>
        </is>
      </c>
      <c r="B3" s="1" t="n">
        <v>45939</v>
      </c>
      <c r="C3" s="1" t="n">
        <v>46191</v>
      </c>
      <c r="D3" t="inlineStr">
        <is>
          <t>SKÅNE LÄN</t>
        </is>
      </c>
      <c r="E3" t="inlineStr">
        <is>
          <t>YSTAD</t>
        </is>
      </c>
      <c r="G3" t="n">
        <v>4.4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Igelkottsröksvamp</t>
        </is>
      </c>
      <c r="S3">
        <f>HYPERLINK("https://klasma.github.io/Logging_1286/artfynd/A 49546-2025 artfynd.xlsx", "A 49546-2025")</f>
        <v/>
      </c>
      <c r="T3">
        <f>HYPERLINK("https://klasma.github.io/Logging_1286/kartor/A 49546-2025 karta.png", "A 49546-2025")</f>
        <v/>
      </c>
      <c r="V3">
        <f>HYPERLINK("https://klasma.github.io/Logging_1286/klagomål/A 49546-2025 FSC-klagomål.docx", "A 49546-2025")</f>
        <v/>
      </c>
      <c r="W3">
        <f>HYPERLINK("https://klasma.github.io/Logging_1286/klagomålsmail/A 49546-2025 FSC-klagomål mail.docx", "A 49546-2025")</f>
        <v/>
      </c>
      <c r="X3">
        <f>HYPERLINK("https://klasma.github.io/Logging_1286/tillsyn/A 49546-2025 tillsynsbegäran.docx", "A 49546-2025")</f>
        <v/>
      </c>
      <c r="Y3">
        <f>HYPERLINK("https://klasma.github.io/Logging_1286/tillsynsmail/A 49546-2025 tillsynsbegäran mail.docx", "A 49546-2025")</f>
        <v/>
      </c>
    </row>
    <row r="4" ht="15" customHeight="1">
      <c r="A4" t="inlineStr">
        <is>
          <t>A 31213-2023</t>
        </is>
      </c>
      <c r="B4" s="1" t="n">
        <v>45113</v>
      </c>
      <c r="C4" s="1" t="n">
        <v>46191</v>
      </c>
      <c r="D4" t="inlineStr">
        <is>
          <t>SKÅNE LÄN</t>
        </is>
      </c>
      <c r="E4" t="inlineStr">
        <is>
          <t>YSTAD</t>
        </is>
      </c>
      <c r="G4" t="n">
        <v>6.5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Skogsveronika
Skärmstarr</t>
        </is>
      </c>
      <c r="S4">
        <f>HYPERLINK("https://klasma.github.io/Logging_1286/artfynd/A 31213-2023 artfynd.xlsx", "A 31213-2023")</f>
        <v/>
      </c>
      <c r="T4">
        <f>HYPERLINK("https://klasma.github.io/Logging_1286/kartor/A 31213-2023 karta.png", "A 31213-2023")</f>
        <v/>
      </c>
      <c r="V4">
        <f>HYPERLINK("https://klasma.github.io/Logging_1286/klagomål/A 31213-2023 FSC-klagomål.docx", "A 31213-2023")</f>
        <v/>
      </c>
      <c r="W4">
        <f>HYPERLINK("https://klasma.github.io/Logging_1286/klagomålsmail/A 31213-2023 FSC-klagomål mail.docx", "A 31213-2023")</f>
        <v/>
      </c>
      <c r="X4">
        <f>HYPERLINK("https://klasma.github.io/Logging_1286/tillsyn/A 31213-2023 tillsynsbegäran.docx", "A 31213-2023")</f>
        <v/>
      </c>
      <c r="Y4">
        <f>HYPERLINK("https://klasma.github.io/Logging_1286/tillsynsmail/A 31213-2023 tillsynsbegäran mail.docx", "A 31213-2023")</f>
        <v/>
      </c>
    </row>
    <row r="5" ht="15" customHeight="1">
      <c r="A5" t="inlineStr">
        <is>
          <t>A 3253-2025</t>
        </is>
      </c>
      <c r="B5" s="1" t="n">
        <v>45679</v>
      </c>
      <c r="C5" s="1" t="n">
        <v>46191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Lönnlav
Strävlosta</t>
        </is>
      </c>
      <c r="S5">
        <f>HYPERLINK("https://klasma.github.io/Logging_1286/artfynd/A 3253-2025 artfynd.xlsx", "A 3253-2025")</f>
        <v/>
      </c>
      <c r="T5">
        <f>HYPERLINK("https://klasma.github.io/Logging_1286/kartor/A 3253-2025 karta.png", "A 3253-2025")</f>
        <v/>
      </c>
      <c r="V5">
        <f>HYPERLINK("https://klasma.github.io/Logging_1286/klagomål/A 3253-2025 FSC-klagomål.docx", "A 3253-2025")</f>
        <v/>
      </c>
      <c r="W5">
        <f>HYPERLINK("https://klasma.github.io/Logging_1286/klagomålsmail/A 3253-2025 FSC-klagomål mail.docx", "A 3253-2025")</f>
        <v/>
      </c>
      <c r="X5">
        <f>HYPERLINK("https://klasma.github.io/Logging_1286/tillsyn/A 3253-2025 tillsynsbegäran.docx", "A 3253-2025")</f>
        <v/>
      </c>
      <c r="Y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46191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46191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46191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46191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49543-2025</t>
        </is>
      </c>
      <c r="B10" s="1" t="n">
        <v>45939</v>
      </c>
      <c r="C10" s="1" t="n">
        <v>46191</v>
      </c>
      <c r="D10" t="inlineStr">
        <is>
          <t>SKÅNE LÄN</t>
        </is>
      </c>
      <c r="E10" t="inlineStr">
        <is>
          <t>YSTAD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Svartöra</t>
        </is>
      </c>
      <c r="S10">
        <f>HYPERLINK("https://klasma.github.io/Logging_1286/artfynd/A 49543-2025 artfynd.xlsx", "A 49543-2025")</f>
        <v/>
      </c>
      <c r="T10">
        <f>HYPERLINK("https://klasma.github.io/Logging_1286/kartor/A 49543-2025 karta.png", "A 49543-2025")</f>
        <v/>
      </c>
      <c r="V10">
        <f>HYPERLINK("https://klasma.github.io/Logging_1286/klagomål/A 49543-2025 FSC-klagomål.docx", "A 49543-2025")</f>
        <v/>
      </c>
      <c r="W10">
        <f>HYPERLINK("https://klasma.github.io/Logging_1286/klagomålsmail/A 49543-2025 FSC-klagomål mail.docx", "A 49543-2025")</f>
        <v/>
      </c>
      <c r="X10">
        <f>HYPERLINK("https://klasma.github.io/Logging_1286/tillsyn/A 49543-2025 tillsynsbegäran.docx", "A 49543-2025")</f>
        <v/>
      </c>
      <c r="Y10">
        <f>HYPERLINK("https://klasma.github.io/Logging_1286/tillsynsmail/A 49543-2025 tillsynsbegäran mail.docx", "A 49543-2025")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46191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46191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46191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46191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46191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46191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</v>
      </c>
      <c r="C17" s="1" t="n">
        <v>46191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46191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46191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46191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</v>
      </c>
      <c r="C21" s="1" t="n">
        <v>46191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60803-2023</t>
        </is>
      </c>
      <c r="B22" s="1" t="n">
        <v>45260</v>
      </c>
      <c r="C22" s="1" t="n">
        <v>46191</v>
      </c>
      <c r="D22" t="inlineStr">
        <is>
          <t>SKÅNE LÄN</t>
        </is>
      </c>
      <c r="E22" t="inlineStr">
        <is>
          <t>YSTAD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27578-2026</t>
        </is>
      </c>
      <c r="B23" s="1" t="n">
        <v>46190</v>
      </c>
      <c r="C23" s="1" t="n">
        <v>46191</v>
      </c>
      <c r="D23" t="inlineStr">
        <is>
          <t>SKÅNE LÄN</t>
        </is>
      </c>
      <c r="E23" t="inlineStr">
        <is>
          <t>YSTAD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</v>
      </c>
      <c r="C24" s="1" t="n">
        <v>46191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2026-06-18T13:16:23Z</dcterms:created>
  <dcterms:modified xmlns:dcterms="http://purl.org/dc/terms/" xmlns:xsi="http://www.w3.org/2001/XMLSchema-instance" xsi:type="dcterms:W3CDTF">2026-06-18T13:16:23Z</dcterms:modified>
</cp:coreProperties>
</file>
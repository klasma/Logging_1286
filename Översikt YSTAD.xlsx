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46202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46202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31213-2023</t>
        </is>
      </c>
      <c r="B4" s="1" t="n">
        <v>45113</v>
      </c>
      <c r="C4" s="1" t="n">
        <v>46202</v>
      </c>
      <c r="D4" t="inlineStr">
        <is>
          <t>SKÅNE LÄN</t>
        </is>
      </c>
      <c r="E4" t="inlineStr">
        <is>
          <t>YSTAD</t>
        </is>
      </c>
      <c r="G4" t="n">
        <v>6.5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Skogsveronika
Skärmstarr</t>
        </is>
      </c>
      <c r="S4">
        <f>HYPERLINK("https://klasma.github.io/Logging_1286/artfynd/A 31213-2023 artfynd.xlsx", "A 31213-2023")</f>
        <v/>
      </c>
      <c r="T4">
        <f>HYPERLINK("https://klasma.github.io/Logging_1286/kartor/A 31213-2023 karta.png", "A 31213-2023")</f>
        <v/>
      </c>
      <c r="V4">
        <f>HYPERLINK("https://klasma.github.io/Logging_1286/klagomål/A 31213-2023 FSC-klagomål.docx", "A 31213-2023")</f>
        <v/>
      </c>
      <c r="W4">
        <f>HYPERLINK("https://klasma.github.io/Logging_1286/klagomålsmail/A 31213-2023 FSC-klagomål mail.docx", "A 31213-2023")</f>
        <v/>
      </c>
      <c r="X4">
        <f>HYPERLINK("https://klasma.github.io/Logging_1286/tillsyn/A 31213-2023 tillsynsbegäran.docx", "A 31213-2023")</f>
        <v/>
      </c>
      <c r="Y4">
        <f>HYPERLINK("https://klasma.github.io/Logging_1286/tillsynsmail/A 31213-2023 tillsynsbegäran mail.docx", "A 31213-2023")</f>
        <v/>
      </c>
    </row>
    <row r="5" ht="15" customHeight="1">
      <c r="A5" t="inlineStr">
        <is>
          <t>A 49546-2025</t>
        </is>
      </c>
      <c r="B5" s="1" t="n">
        <v>45939</v>
      </c>
      <c r="C5" s="1" t="n">
        <v>46202</v>
      </c>
      <c r="D5" t="inlineStr">
        <is>
          <t>SKÅNE LÄN</t>
        </is>
      </c>
      <c r="E5" t="inlineStr">
        <is>
          <t>YSTAD</t>
        </is>
      </c>
      <c r="G5" t="n">
        <v>4.4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Igelkottsröksvamp</t>
        </is>
      </c>
      <c r="S5">
        <f>HYPERLINK("https://klasma.github.io/Logging_1286/artfynd/A 49546-2025 artfynd.xlsx", "A 49546-2025")</f>
        <v/>
      </c>
      <c r="T5">
        <f>HYPERLINK("https://klasma.github.io/Logging_1286/kartor/A 49546-2025 karta.png", "A 49546-2025")</f>
        <v/>
      </c>
      <c r="V5">
        <f>HYPERLINK("https://klasma.github.io/Logging_1286/klagomål/A 49546-2025 FSC-klagomål.docx", "A 49546-2025")</f>
        <v/>
      </c>
      <c r="W5">
        <f>HYPERLINK("https://klasma.github.io/Logging_1286/klagomålsmail/A 49546-2025 FSC-klagomål mail.docx", "A 49546-2025")</f>
        <v/>
      </c>
      <c r="X5">
        <f>HYPERLINK("https://klasma.github.io/Logging_1286/tillsyn/A 49546-2025 tillsynsbegäran.docx", "A 49546-2025")</f>
        <v/>
      </c>
      <c r="Y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s="1" t="n">
        <v>44756</v>
      </c>
      <c r="C6" s="1" t="n">
        <v>46202</v>
      </c>
      <c r="D6" t="inlineStr">
        <is>
          <t>SKÅNE LÄN</t>
        </is>
      </c>
      <c r="E6" t="inlineStr">
        <is>
          <t>YSTAD</t>
        </is>
      </c>
      <c r="G6" t="n">
        <v>0.5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HYPERLINK("https://klasma.github.io/Logging_1286/artfynd/A 29858-2022 artfynd.xlsx", "A 29858-2022")</f>
        <v/>
      </c>
      <c r="T6">
        <f>HYPERLINK("https://klasma.github.io/Logging_1286/kartor/A 29858-2022 karta.png", "A 29858-2022")</f>
        <v/>
      </c>
      <c r="V6">
        <f>HYPERLINK("https://klasma.github.io/Logging_1286/klagomål/A 29858-2022 FSC-klagomål.docx", "A 29858-2022")</f>
        <v/>
      </c>
      <c r="W6">
        <f>HYPERLINK("https://klasma.github.io/Logging_1286/klagomålsmail/A 29858-2022 FSC-klagomål mail.docx", "A 29858-2022")</f>
        <v/>
      </c>
      <c r="X6">
        <f>HYPERLINK("https://klasma.github.io/Logging_1286/tillsyn/A 29858-2022 tillsynsbegäran.docx", "A 29858-2022")</f>
        <v/>
      </c>
      <c r="Y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s="1" t="n">
        <v>45007</v>
      </c>
      <c r="C7" s="1" t="n">
        <v>46202</v>
      </c>
      <c r="D7" t="inlineStr">
        <is>
          <t>SKÅNE LÄN</t>
        </is>
      </c>
      <c r="E7" t="inlineStr">
        <is>
          <t>YSTAD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HYPERLINK("https://klasma.github.io/Logging_1286/artfynd/A 13766-2023 artfynd.xlsx", "A 13766-2023")</f>
        <v/>
      </c>
      <c r="T7">
        <f>HYPERLINK("https://klasma.github.io/Logging_1286/kartor/A 13766-2023 karta.png", "A 13766-2023")</f>
        <v/>
      </c>
      <c r="V7">
        <f>HYPERLINK("https://klasma.github.io/Logging_1286/klagomål/A 13766-2023 FSC-klagomål.docx", "A 13766-2023")</f>
        <v/>
      </c>
      <c r="W7">
        <f>HYPERLINK("https://klasma.github.io/Logging_1286/klagomålsmail/A 13766-2023 FSC-klagomål mail.docx", "A 13766-2023")</f>
        <v/>
      </c>
      <c r="X7">
        <f>HYPERLINK("https://klasma.github.io/Logging_1286/tillsyn/A 13766-2023 tillsynsbegäran.docx", "A 13766-2023")</f>
        <v/>
      </c>
      <c r="Y7">
        <f>HYPERLINK("https://klasma.github.io/Logging_1286/tillsynsmail/A 13766-2023 tillsynsbegäran mail.docx", "A 13766-2023")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46202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61558-2023</t>
        </is>
      </c>
      <c r="B9" s="1" t="n">
        <v>45265</v>
      </c>
      <c r="C9" s="1" t="n">
        <v>46202</v>
      </c>
      <c r="D9" t="inlineStr">
        <is>
          <t>SKÅNE LÄN</t>
        </is>
      </c>
      <c r="E9" t="inlineStr">
        <is>
          <t>YSTAD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HYPERLINK("https://klasma.github.io/Logging_1286/artfynd/A 61558-2023 artfynd.xlsx", "A 61558-2023")</f>
        <v/>
      </c>
      <c r="T9">
        <f>HYPERLINK("https://klasma.github.io/Logging_1286/kartor/A 61558-2023 karta.png", "A 61558-2023")</f>
        <v/>
      </c>
      <c r="V9">
        <f>HYPERLINK("https://klasma.github.io/Logging_1286/klagomål/A 61558-2023 FSC-klagomål.docx", "A 61558-2023")</f>
        <v/>
      </c>
      <c r="W9">
        <f>HYPERLINK("https://klasma.github.io/Logging_1286/klagomålsmail/A 61558-2023 FSC-klagomål mail.docx", "A 61558-2023")</f>
        <v/>
      </c>
      <c r="X9">
        <f>HYPERLINK("https://klasma.github.io/Logging_1286/tillsyn/A 61558-2023 tillsynsbegäran.docx", "A 61558-2023")</f>
        <v/>
      </c>
      <c r="Y9">
        <f>HYPERLINK("https://klasma.github.io/Logging_1286/tillsynsmail/A 61558-2023 tillsynsbegäran mail.docx", "A 61558-2023")</f>
        <v/>
      </c>
    </row>
    <row r="10" ht="15" customHeight="1">
      <c r="A10" t="inlineStr">
        <is>
          <t>A 49543-2025</t>
        </is>
      </c>
      <c r="B10" s="1" t="n">
        <v>45939</v>
      </c>
      <c r="C10" s="1" t="n">
        <v>46202</v>
      </c>
      <c r="D10" t="inlineStr">
        <is>
          <t>SKÅNE LÄN</t>
        </is>
      </c>
      <c r="E10" t="inlineStr">
        <is>
          <t>YSTAD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Svartöra</t>
        </is>
      </c>
      <c r="S10">
        <f>HYPERLINK("https://klasma.github.io/Logging_1286/artfynd/A 49543-2025 artfynd.xlsx", "A 49543-2025")</f>
        <v/>
      </c>
      <c r="T10">
        <f>HYPERLINK("https://klasma.github.io/Logging_1286/kartor/A 49543-2025 karta.png", "A 49543-2025")</f>
        <v/>
      </c>
      <c r="V10">
        <f>HYPERLINK("https://klasma.github.io/Logging_1286/klagomål/A 49543-2025 FSC-klagomål.docx", "A 49543-2025")</f>
        <v/>
      </c>
      <c r="W10">
        <f>HYPERLINK("https://klasma.github.io/Logging_1286/klagomålsmail/A 49543-2025 FSC-klagomål mail.docx", "A 49543-2025")</f>
        <v/>
      </c>
      <c r="X10">
        <f>HYPERLINK("https://klasma.github.io/Logging_1286/tillsyn/A 49543-2025 tillsynsbegäran.docx", "A 49543-2025")</f>
        <v/>
      </c>
      <c r="Y10">
        <f>HYPERLINK("https://klasma.github.io/Logging_1286/tillsynsmail/A 49543-2025 tillsynsbegäran mail.docx", "A 49543-2025")</f>
        <v/>
      </c>
    </row>
    <row r="11" ht="15" customHeight="1">
      <c r="A11" t="inlineStr">
        <is>
          <t>A 34341-2024</t>
        </is>
      </c>
      <c r="B11" s="1" t="n">
        <v>45525</v>
      </c>
      <c r="C11" s="1" t="n">
        <v>46202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HYPERLINK("https://klasma.github.io/Logging_1286/artfynd/A 34341-2024 artfynd.xlsx", "A 34341-2024")</f>
        <v/>
      </c>
      <c r="T11">
        <f>HYPERLINK("https://klasma.github.io/Logging_1286/kartor/A 34341-2024 karta.png", "A 34341-2024")</f>
        <v/>
      </c>
      <c r="V11">
        <f>HYPERLINK("https://klasma.github.io/Logging_1286/klagomål/A 34341-2024 FSC-klagomål.docx", "A 34341-2024")</f>
        <v/>
      </c>
      <c r="W11">
        <f>HYPERLINK("https://klasma.github.io/Logging_1286/klagomålsmail/A 34341-2024 FSC-klagomål mail.docx", "A 34341-2024")</f>
        <v/>
      </c>
      <c r="X11">
        <f>HYPERLINK("https://klasma.github.io/Logging_1286/tillsyn/A 34341-2024 tillsynsbegäran.docx", "A 34341-2024")</f>
        <v/>
      </c>
      <c r="Y11">
        <f>HYPERLINK("https://klasma.github.io/Logging_1286/tillsynsmail/A 34341-2024 tillsynsbegäran mail.docx", "A 34341-2024")</f>
        <v/>
      </c>
    </row>
    <row r="12" ht="15" customHeight="1">
      <c r="A12" t="inlineStr">
        <is>
          <t>A 36951-2021</t>
        </is>
      </c>
      <c r="B12" s="1" t="n">
        <v>44393</v>
      </c>
      <c r="C12" s="1" t="n">
        <v>46202</v>
      </c>
      <c r="D12" t="inlineStr">
        <is>
          <t>SKÅNE LÄN</t>
        </is>
      </c>
      <c r="E12" t="inlineStr">
        <is>
          <t>YSTAD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36947-2021</t>
        </is>
      </c>
      <c r="B13" s="1" t="n">
        <v>44393</v>
      </c>
      <c r="C13" s="1" t="n">
        <v>46202</v>
      </c>
      <c r="D13" t="inlineStr">
        <is>
          <t>SKÅNE LÄN</t>
        </is>
      </c>
      <c r="E13" t="inlineStr">
        <is>
          <t>YSTAD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46202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60803-2023</t>
        </is>
      </c>
      <c r="B15" s="1" t="n">
        <v>45260</v>
      </c>
      <c r="C15" s="1" t="n">
        <v>46202</v>
      </c>
      <c r="D15" t="inlineStr">
        <is>
          <t>SKÅNE LÄN</t>
        </is>
      </c>
      <c r="E15" t="inlineStr">
        <is>
          <t>YSTAD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40417-2022</t>
        </is>
      </c>
      <c r="B16" s="1" t="n">
        <v>44823</v>
      </c>
      <c r="C16" s="1" t="n">
        <v>46202</v>
      </c>
      <c r="D16" t="inlineStr">
        <is>
          <t>SKÅNE LÄN</t>
        </is>
      </c>
      <c r="E16" t="inlineStr">
        <is>
          <t>YSTAD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38631-2023</t>
        </is>
      </c>
      <c r="B17" s="1" t="n">
        <v>45162</v>
      </c>
      <c r="C17" s="1" t="n">
        <v>46202</v>
      </c>
      <c r="D17" t="inlineStr">
        <is>
          <t>SKÅNE LÄN</t>
        </is>
      </c>
      <c r="E17" t="inlineStr">
        <is>
          <t>YSTAD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</v>
      </c>
      <c r="C18" s="1" t="n">
        <v>46202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46202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46202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32596-2024</t>
        </is>
      </c>
      <c r="B21" s="1" t="n">
        <v>45513</v>
      </c>
      <c r="C21" s="1" t="n">
        <v>46202</v>
      </c>
      <c r="D21" t="inlineStr">
        <is>
          <t>SKÅNE LÄN</t>
        </is>
      </c>
      <c r="E21" t="inlineStr">
        <is>
          <t>YSTAD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49536-2025</t>
        </is>
      </c>
      <c r="B22" s="1" t="n">
        <v>45939</v>
      </c>
      <c r="C22" s="1" t="n">
        <v>46202</v>
      </c>
      <c r="D22" t="inlineStr">
        <is>
          <t>SKÅNE LÄN</t>
        </is>
      </c>
      <c r="E22" t="inlineStr">
        <is>
          <t>YSTAD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49549-2025</t>
        </is>
      </c>
      <c r="B23" s="1" t="n">
        <v>45939</v>
      </c>
      <c r="C23" s="1" t="n">
        <v>46202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27578-2026</t>
        </is>
      </c>
      <c r="B24" s="1" t="n">
        <v>46190</v>
      </c>
      <c r="C24" s="1" t="n">
        <v>46202</v>
      </c>
      <c r="D24" t="inlineStr">
        <is>
          <t>SKÅNE LÄN</t>
        </is>
      </c>
      <c r="E24" t="inlineStr">
        <is>
          <t>YSTAD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2026-06-29T00:58:27Z</dcterms:created>
  <dcterms:modified xmlns:dcterms="http://purl.org/dc/terms/" xmlns:xsi="http://www.w3.org/2001/XMLSchema-instance" xsi:type="dcterms:W3CDTF">2026-06-29T00:58:27Z</dcterms:modified>
</cp:coreProperties>
</file>
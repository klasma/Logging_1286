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60295-2022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44903</v>
      </c>
      <c r="E2" s="1" t="n">
        <v>46239</v>
      </c>
      <c r="F2" t="inlineStr">
        <is>
          <t>SKÅNE LÄN</t>
        </is>
      </c>
      <c r="G2" t="inlineStr">
        <is>
          <t>YSTAD</t>
        </is>
      </c>
      <c r="I2" t="n">
        <v>1.1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5</v>
      </c>
      <c r="U2" t="n">
        <v>5</v>
      </c>
      <c r="V2" s="2" t="inlineStr">
        <is>
          <t>Klockgroda
Ätlig groda</t>
        </is>
      </c>
      <c r="W2">
        <f>HYPERLINK("https://klasma.github.io/Logging_1286/artfynd/A 60295-2022 artfynd.xlsx", "A 60295-2022")</f>
        <v/>
      </c>
      <c r="X2">
        <f>HYPERLINK("https://klasma.github.io/Logging_1286/kartor/A 60295-2022 karta.png", "A 60295-2022")</f>
        <v/>
      </c>
      <c r="Y2">
        <f>HYPERLINK("https://klasma.github.io/Logging_1286/kartor_geotiff/A 60295-2022 georefererad karta.tif", "A 60295-2022")</f>
        <v/>
      </c>
      <c r="AA2">
        <f>HYPERLINK("https://klasma.github.io/Logging_1286/klagomål/A 60295-2022 FSC-klagomål.docx", "A 60295-2022")</f>
        <v/>
      </c>
      <c r="AB2">
        <f>HYPERLINK("https://klasma.github.io/Logging_1286/klagomålsmail/A 60295-2022 FSC-klagomål mail.docx", "A 60295-2022")</f>
        <v/>
      </c>
      <c r="AC2">
        <f>HYPERLINK("https://klasma.github.io/Logging_1286/tillsyn/A 60295-2022 tillsynsbegäran.docx", "A 60295-2022")</f>
        <v/>
      </c>
      <c r="AD2">
        <f>HYPERLINK("https://klasma.github.io/Logging_1286/tillsynsmail/A 60295-2022 tillsynsbegäran mail.docx", "A 60295-2022")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46239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46239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46239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46239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46239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45525</v>
      </c>
      <c r="E8" s="1" t="n">
        <v>46239</v>
      </c>
      <c r="F8" t="inlineStr">
        <is>
          <t>SKÅNE LÄN</t>
        </is>
      </c>
      <c r="G8" t="inlineStr">
        <is>
          <t>YSTAD</t>
        </is>
      </c>
      <c r="H8" t="inlineStr">
        <is>
          <t>Övriga Aktiebolag</t>
        </is>
      </c>
      <c r="I8" t="n">
        <v>14.4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Desmeknopp</t>
        </is>
      </c>
      <c r="W8">
        <f>HYPERLINK("https://klasma.github.io/Logging_1286/artfynd/A 34341-2024 artfynd.xlsx", "A 34341-2024")</f>
        <v/>
      </c>
      <c r="X8">
        <f>HYPERLINK("https://klasma.github.io/Logging_1286/kartor/A 34341-2024 karta.png", "A 34341-2024")</f>
        <v/>
      </c>
      <c r="Y8">
        <f>HYPERLINK("https://klasma.github.io/Logging_1286/kartor_geotiff/A 34341-2024 georefererad karta.tif", "A 34341-2024")</f>
        <v/>
      </c>
      <c r="AA8">
        <f>HYPERLINK("https://klasma.github.io/Logging_1286/klagomål/A 34341-2024 FSC-klagomål.docx", "A 34341-2024")</f>
        <v/>
      </c>
      <c r="AB8">
        <f>HYPERLINK("https://klasma.github.io/Logging_1286/klagomålsmail/A 34341-2024 FSC-klagomål mail.docx", "A 34341-2024")</f>
        <v/>
      </c>
      <c r="AC8">
        <f>HYPERLINK("https://klasma.github.io/Logging_1286/tillsyn/A 34341-2024 tillsynsbegäran.docx", "A 34341-2024")</f>
        <v/>
      </c>
      <c r="AD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46239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46239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HYPERLINK("https://klasma.github.io/Logging_1286/artfynd/A 13766-2023 artfynd.xlsx", "A 13766-2023")</f>
        <v/>
      </c>
      <c r="X10">
        <f>HYPERLINK("https://klasma.github.io/Logging_1286/kartor/A 13766-2023 karta.png", "A 13766-2023")</f>
        <v/>
      </c>
      <c r="Y10">
        <f>HYPERLINK("https://klasma.github.io/Logging_1286/kartor_geotiff/A 13766-2023 georefererad karta.tif", "A 13766-2023")</f>
        <v/>
      </c>
      <c r="AA10">
        <f>HYPERLINK("https://klasma.github.io/Logging_1286/klagomål/A 13766-2023 FSC-klagomål.docx", "A 13766-2023")</f>
        <v/>
      </c>
      <c r="AB10">
        <f>HYPERLINK("https://klasma.github.io/Logging_1286/klagomålsmail/A 13766-2023 FSC-klagomål mail.docx", "A 13766-2023")</f>
        <v/>
      </c>
      <c r="AC10">
        <f>HYPERLINK("https://klasma.github.io/Logging_1286/tillsyn/A 13766-2023 tillsynsbegäran.docx", "A 13766-2023")</f>
        <v/>
      </c>
      <c r="AD10">
        <f>HYPERLINK("https://klasma.github.io/Logging_1286/tillsynsmail/A 13766-2023 tillsynsbegäran mail.docx", "A 13766-2023")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46239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46239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46239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46239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46239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46239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34302-2024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45524</v>
      </c>
      <c r="E17" s="1" t="n">
        <v>46239</v>
      </c>
      <c r="F17" t="inlineStr">
        <is>
          <t>SKÅNE LÄN</t>
        </is>
      </c>
      <c r="G17" t="inlineStr">
        <is>
          <t>YSTAD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22195-2023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46239</v>
      </c>
      <c r="F18" t="inlineStr">
        <is>
          <t>SKÅNE LÄN</t>
        </is>
      </c>
      <c r="G18" t="inlineStr">
        <is>
          <t>YSTAD</t>
        </is>
      </c>
      <c r="H18" t="inlineStr">
        <is>
          <t>Övriga Aktiebolag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49536-2025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46239</v>
      </c>
      <c r="F19" t="inlineStr">
        <is>
          <t>SKÅNE LÄN</t>
        </is>
      </c>
      <c r="G19" t="inlineStr">
        <is>
          <t>YSTAD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27578-2026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46190</v>
      </c>
      <c r="E20" s="1" t="n">
        <v>46239</v>
      </c>
      <c r="F20" t="inlineStr">
        <is>
          <t>SKÅNE LÄN</t>
        </is>
      </c>
      <c r="G20" t="inlineStr">
        <is>
          <t>YSTAD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45162</v>
      </c>
      <c r="E21" s="1" t="n">
        <v>46239</v>
      </c>
      <c r="F21" t="inlineStr">
        <is>
          <t>SKÅNE LÄN</t>
        </is>
      </c>
      <c r="G21" t="inlineStr">
        <is>
          <t>YSTAD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18090-2022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44684</v>
      </c>
      <c r="E22" s="1" t="n">
        <v>46239</v>
      </c>
      <c r="F22" t="inlineStr">
        <is>
          <t>SKÅNE LÄN</t>
        </is>
      </c>
      <c r="G22" t="inlineStr">
        <is>
          <t>YSTAD</t>
        </is>
      </c>
      <c r="I22" t="n">
        <v>4.9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2026-08-05T20:34:45Z</dcterms:created>
  <dcterms:modified xmlns:dcterms="http://purl.org/dc/terms/" xmlns:xsi="http://www.w3.org/2001/XMLSchema-instance" xsi:type="dcterms:W3CDTF">2026-08-05T20:34:45Z</dcterms:modified>
</cp:coreProperties>
</file>
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46231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46231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46231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46231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45525</v>
      </c>
      <c r="E7" s="1" t="n">
        <v>46231</v>
      </c>
      <c r="F7" t="inlineStr">
        <is>
          <t>SKÅNE LÄN</t>
        </is>
      </c>
      <c r="G7" t="inlineStr">
        <is>
          <t>YSTAD</t>
        </is>
      </c>
      <c r="H7" t="inlineStr">
        <is>
          <t>Övriga Aktiebolag</t>
        </is>
      </c>
      <c r="I7" t="n">
        <v>14.4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Desmeknopp</t>
        </is>
      </c>
      <c r="W7">
        <f>HYPERLINK("https://klasma.github.io/Logging_1286/artfynd/A 34341-2024 artfynd.xlsx", "A 34341-2024")</f>
        <v/>
      </c>
      <c r="X7">
        <f>HYPERLINK("https://klasma.github.io/Logging_1286/kartor/A 34341-2024 karta.png", "A 34341-2024")</f>
        <v/>
      </c>
      <c r="Y7">
        <f>HYPERLINK("https://klasma.github.io/Logging_1286/kartor_geotiff/A 34341-2024 georefererad karta.tif", "A 34341-2024")</f>
        <v/>
      </c>
      <c r="AA7">
        <f>HYPERLINK("https://klasma.github.io/Logging_1286/klagomål/A 34341-2024 FSC-klagomål.docx", "A 34341-2024")</f>
        <v/>
      </c>
      <c r="AB7">
        <f>HYPERLINK("https://klasma.github.io/Logging_1286/klagomålsmail/A 34341-2024 FSC-klagomål mail.docx", "A 34341-2024")</f>
        <v/>
      </c>
      <c r="AC7">
        <f>HYPERLINK("https://klasma.github.io/Logging_1286/tillsyn/A 34341-2024 tillsynsbegäran.docx", "A 34341-2024")</f>
        <v/>
      </c>
      <c r="AD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46231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46231</v>
      </c>
      <c r="F9" t="inlineStr">
        <is>
          <t>SKÅNE LÄN</t>
        </is>
      </c>
      <c r="G9" t="inlineStr">
        <is>
          <t>YSTAD</t>
        </is>
      </c>
      <c r="I9" t="n">
        <v>0.5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Noshornsoxe</t>
        </is>
      </c>
      <c r="W9">
        <f>HYPERLINK("https://klasma.github.io/Logging_1286/artfynd/A 49549-2025 artfynd.xlsx", "A 49549-2025")</f>
        <v/>
      </c>
      <c r="X9">
        <f>HYPERLINK("https://klasma.github.io/Logging_1286/kartor/A 49549-2025 karta.png", "A 49549-2025")</f>
        <v/>
      </c>
      <c r="Y9">
        <f>HYPERLINK("https://klasma.github.io/Logging_1286/kartor_geotiff/A 49549-2025 georefererad karta.tif", "A 49549-2025")</f>
        <v/>
      </c>
      <c r="AA9">
        <f>HYPERLINK("https://klasma.github.io/Logging_1286/klagomål/A 49549-2025 FSC-klagomål.docx", "A 49549-2025")</f>
        <v/>
      </c>
      <c r="AB9">
        <f>HYPERLINK("https://klasma.github.io/Logging_1286/klagomålsmail/A 49549-2025 FSC-klagomål mail.docx", "A 49549-2025")</f>
        <v/>
      </c>
      <c r="AC9">
        <f>HYPERLINK("https://klasma.github.io/Logging_1286/tillsyn/A 49549-2025 tillsynsbegäran.docx", "A 49549-2025")</f>
        <v/>
      </c>
      <c r="AD9">
        <f>HYPERLINK("https://klasma.github.io/Logging_1286/tillsynsmail/A 49549-2025 tillsynsbegäran mail.docx", "A 49549-2025")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46231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Svartöra</t>
        </is>
      </c>
      <c r="W10">
        <f>HYPERLINK("https://klasma.github.io/Logging_1286/artfynd/A 49543-2025 artfynd.xlsx", "A 49543-2025")</f>
        <v/>
      </c>
      <c r="X10">
        <f>HYPERLINK("https://klasma.github.io/Logging_1286/kartor/A 49543-2025 karta.png", "A 49543-2025")</f>
        <v/>
      </c>
      <c r="Y10">
        <f>HYPERLINK("https://klasma.github.io/Logging_1286/kartor_geotiff/A 49543-2025 georefererad karta.tif", "A 49543-2025")</f>
        <v/>
      </c>
      <c r="AA10">
        <f>HYPERLINK("https://klasma.github.io/Logging_1286/klagomål/A 49543-2025 FSC-klagomål.docx", "A 49543-2025")</f>
        <v/>
      </c>
      <c r="AB10">
        <f>HYPERLINK("https://klasma.github.io/Logging_1286/klagomålsmail/A 49543-2025 FSC-klagomål mail.docx", "A 49543-2025")</f>
        <v/>
      </c>
      <c r="AC10">
        <f>HYPERLINK("https://klasma.github.io/Logging_1286/tillsyn/A 49543-2025 tillsynsbegäran.docx", "A 49543-2025")</f>
        <v/>
      </c>
      <c r="AD10">
        <f>HYPERLINK("https://klasma.github.io/Logging_1286/tillsynsmail/A 49543-2025 tillsynsbegäran mail.docx", "A 49543-2025")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46231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46231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46231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46231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46231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46231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27578-2026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46231</v>
      </c>
      <c r="F18" t="inlineStr">
        <is>
          <t>SKÅNE LÄN</t>
        </is>
      </c>
      <c r="G18" t="inlineStr">
        <is>
          <t>YSTAD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46231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46231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18090-2022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44684</v>
      </c>
      <c r="E21" s="1" t="n">
        <v>46231</v>
      </c>
      <c r="F21" t="inlineStr">
        <is>
          <t>SKÅNE LÄN</t>
        </is>
      </c>
      <c r="G21" t="inlineStr">
        <is>
          <t>YSTAD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46231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2026-07-28T01:49:06Z</dcterms:created>
  <dcterms:modified xmlns:dcterms="http://purl.org/dc/terms/" xmlns:xsi="http://www.w3.org/2001/XMLSchema-instance" xsi:type="dcterms:W3CDTF">2026-07-28T01:49:06Z</dcterms:modified>
</cp:coreProperties>
</file>
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46248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44903</v>
      </c>
      <c r="E3" s="1" t="n">
        <v>46248</v>
      </c>
      <c r="F3" t="inlineStr">
        <is>
          <t>SKÅNE LÄN</t>
        </is>
      </c>
      <c r="G3" t="inlineStr">
        <is>
          <t>YSTAD</t>
        </is>
      </c>
      <c r="I3" t="n">
        <v>1.1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5</v>
      </c>
      <c r="U3" t="n">
        <v>5</v>
      </c>
      <c r="V3" s="2" t="inlineStr">
        <is>
          <t>Klockgroda
Ätlig groda</t>
        </is>
      </c>
      <c r="W3">
        <f>HYPERLINK("https://klasma.github.io/Logging_1286/artfynd/A 60295-2022 artfynd.xlsx", "A 60295-2022")</f>
        <v/>
      </c>
      <c r="X3">
        <f>HYPERLINK("https://klasma.github.io/Logging_1286/kartor/A 60295-2022 karta.png", "A 60295-2022")</f>
        <v/>
      </c>
      <c r="Y3">
        <f>HYPERLINK("https://klasma.github.io/Logging_1286/kartor_geotiff/A 60295-2022 georefererad karta.tif", "A 60295-2022")</f>
        <v/>
      </c>
      <c r="AA3">
        <f>HYPERLINK("https://klasma.github.io/Logging_1286/klagomål/A 60295-2022 FSC-klagomål.docx", "A 60295-2022")</f>
        <v/>
      </c>
      <c r="AB3">
        <f>HYPERLINK("https://klasma.github.io/Logging_1286/klagomålsmail/A 60295-2022 FSC-klagomål mail.docx", "A 60295-2022")</f>
        <v/>
      </c>
      <c r="AC3">
        <f>HYPERLINK("https://klasma.github.io/Logging_1286/tillsyn/A 60295-2022 tillsynsbegäran.docx", "A 60295-2022")</f>
        <v/>
      </c>
      <c r="AD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46248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46248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46248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46248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60891-2024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45644</v>
      </c>
      <c r="E8" s="1" t="n">
        <v>46248</v>
      </c>
      <c r="F8" t="inlineStr">
        <is>
          <t>SKÅNE LÄN</t>
        </is>
      </c>
      <c r="G8" t="inlineStr">
        <is>
          <t>YSTAD</t>
        </is>
      </c>
      <c r="I8" t="n">
        <v>16.1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Lövgroda</t>
        </is>
      </c>
      <c r="W8">
        <f>HYPERLINK("https://klasma.github.io/Logging_1286/artfynd/A 60891-2024 artfynd.xlsx", "A 60891-2024")</f>
        <v/>
      </c>
      <c r="X8">
        <f>HYPERLINK("https://klasma.github.io/Logging_1286/kartor/A 60891-2024 karta.png", "A 60891-2024")</f>
        <v/>
      </c>
      <c r="Y8">
        <f>HYPERLINK("https://klasma.github.io/Logging_1286/kartor_geotiff/A 60891-2024 georefererad karta.tif", "A 60891-2024")</f>
        <v/>
      </c>
      <c r="AA8">
        <f>HYPERLINK("https://klasma.github.io/Logging_1286/klagomål/A 60891-2024 FSC-klagomål.docx", "A 60891-2024")</f>
        <v/>
      </c>
      <c r="AB8">
        <f>HYPERLINK("https://klasma.github.io/Logging_1286/klagomålsmail/A 60891-2024 FSC-klagomål mail.docx", "A 60891-2024")</f>
        <v/>
      </c>
      <c r="AC8">
        <f>HYPERLINK("https://klasma.github.io/Logging_1286/tillsyn/A 60891-2024 tillsynsbegäran.docx", "A 60891-2024")</f>
        <v/>
      </c>
      <c r="AD8">
        <f>HYPERLINK("https://klasma.github.io/Logging_1286/tillsynsmail/A 60891-2024 tillsynsbegäran mail.docx", "A 60891-2024")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46248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61558-2023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45265</v>
      </c>
      <c r="E10" s="1" t="n">
        <v>46248</v>
      </c>
      <c r="F10" t="inlineStr">
        <is>
          <t>SKÅNE LÄN</t>
        </is>
      </c>
      <c r="G10" t="inlineStr">
        <is>
          <t>YSTAD</t>
        </is>
      </c>
      <c r="H10" t="inlineStr">
        <is>
          <t>Övriga statliga verk och myndigheter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HYPERLINK("https://klasma.github.io/Logging_1286/artfynd/A 61558-2023 artfynd.xlsx", "A 61558-2023")</f>
        <v/>
      </c>
      <c r="X10">
        <f>HYPERLINK("https://klasma.github.io/Logging_1286/kartor/A 61558-2023 karta.png", "A 61558-2023")</f>
        <v/>
      </c>
      <c r="Y10">
        <f>HYPERLINK("https://klasma.github.io/Logging_1286/kartor_geotiff/A 61558-2023 georefererad karta.tif", "A 61558-2023")</f>
        <v/>
      </c>
      <c r="AA10">
        <f>HYPERLINK("https://klasma.github.io/Logging_1286/klagomål/A 61558-2023 FSC-klagomål.docx", "A 61558-2023")</f>
        <v/>
      </c>
      <c r="AB10">
        <f>HYPERLINK("https://klasma.github.io/Logging_1286/klagomålsmail/A 61558-2023 FSC-klagomål mail.docx", "A 61558-2023")</f>
        <v/>
      </c>
      <c r="AC10">
        <f>HYPERLINK("https://klasma.github.io/Logging_1286/tillsyn/A 61558-2023 tillsynsbegäran.docx", "A 61558-2023")</f>
        <v/>
      </c>
      <c r="AD10">
        <f>HYPERLINK("https://klasma.github.io/Logging_1286/tillsynsmail/A 61558-2023 tillsynsbegäran mail.docx", "A 61558-2023")</f>
        <v/>
      </c>
    </row>
    <row r="11" ht="15" customHeight="1">
      <c r="A11" t="inlineStr">
        <is>
          <t>A 49543-2025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46248</v>
      </c>
      <c r="F11" t="inlineStr">
        <is>
          <t>SKÅNE LÄN</t>
        </is>
      </c>
      <c r="G11" t="inlineStr">
        <is>
          <t>YSTAD</t>
        </is>
      </c>
      <c r="I11" t="n">
        <v>1.4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Svartöra</t>
        </is>
      </c>
      <c r="W11">
        <f>HYPERLINK("https://klasma.github.io/Logging_1286/artfynd/A 49543-2025 artfynd.xlsx", "A 49543-2025")</f>
        <v/>
      </c>
      <c r="X11">
        <f>HYPERLINK("https://klasma.github.io/Logging_1286/kartor/A 49543-2025 karta.png", "A 49543-2025")</f>
        <v/>
      </c>
      <c r="Y11">
        <f>HYPERLINK("https://klasma.github.io/Logging_1286/kartor_geotiff/A 49543-2025 georefererad karta.tif", "A 49543-2025")</f>
        <v/>
      </c>
      <c r="AA11">
        <f>HYPERLINK("https://klasma.github.io/Logging_1286/klagomål/A 49543-2025 FSC-klagomål.docx", "A 49543-2025")</f>
        <v/>
      </c>
      <c r="AB11">
        <f>HYPERLINK("https://klasma.github.io/Logging_1286/klagomålsmail/A 49543-2025 FSC-klagomål mail.docx", "A 49543-2025")</f>
        <v/>
      </c>
      <c r="AC11">
        <f>HYPERLINK("https://klasma.github.io/Logging_1286/tillsyn/A 49543-2025 tillsynsbegäran.docx", "A 49543-2025")</f>
        <v/>
      </c>
      <c r="AD11">
        <f>HYPERLINK("https://klasma.github.io/Logging_1286/tillsynsmail/A 49543-2025 tillsynsbegäran mail.docx", "A 49543-2025")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46248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40417-2022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44823</v>
      </c>
      <c r="E13" s="1" t="n">
        <v>46248</v>
      </c>
      <c r="F13" t="inlineStr">
        <is>
          <t>SKÅNE LÄN</t>
        </is>
      </c>
      <c r="G13" t="inlineStr">
        <is>
          <t>YSTAD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38631-2023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45162</v>
      </c>
      <c r="E14" s="1" t="n">
        <v>46248</v>
      </c>
      <c r="F14" t="inlineStr">
        <is>
          <t>SKÅNE LÄN</t>
        </is>
      </c>
      <c r="G14" t="inlineStr">
        <is>
          <t>YSTAD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22195-2023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45069</v>
      </c>
      <c r="E15" s="1" t="n">
        <v>46248</v>
      </c>
      <c r="F15" t="inlineStr">
        <is>
          <t>SKÅNE LÄN</t>
        </is>
      </c>
      <c r="G15" t="inlineStr">
        <is>
          <t>YSTAD</t>
        </is>
      </c>
      <c r="H15" t="inlineStr">
        <is>
          <t>Övriga Aktiebolag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46248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46248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45513</v>
      </c>
      <c r="E18" s="1" t="n">
        <v>46248</v>
      </c>
      <c r="F18" t="inlineStr">
        <is>
          <t>SKÅNE LÄN</t>
        </is>
      </c>
      <c r="G18" t="inlineStr">
        <is>
          <t>YSTAD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34302-2024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45524</v>
      </c>
      <c r="E19" s="1" t="n">
        <v>46248</v>
      </c>
      <c r="F19" t="inlineStr">
        <is>
          <t>SKÅNE LÄN</t>
        </is>
      </c>
      <c r="G19" t="inlineStr">
        <is>
          <t>YSTAD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46248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46248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49549-2025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46248</v>
      </c>
      <c r="F22" t="inlineStr">
        <is>
          <t>SKÅNE LÄN</t>
        </is>
      </c>
      <c r="G22" t="inlineStr">
        <is>
          <t>YSTAD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2026-08-14T01:55:52Z</dcterms:created>
  <dcterms:modified xmlns:dcterms="http://purl.org/dc/terms/" xmlns:xsi="http://www.w3.org/2001/XMLSchema-instance" xsi:type="dcterms:W3CDTF">2026-08-14T01:55:53Z</dcterms:modified>
</cp:coreProperties>
</file>
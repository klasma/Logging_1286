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46075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46075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46075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46075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46075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60891-2024</t>
        </is>
      </c>
      <c r="B7" s="1" t="n">
        <v>45644</v>
      </c>
      <c r="C7" s="1" t="n">
        <v>46075</v>
      </c>
      <c r="D7" t="inlineStr">
        <is>
          <t>SKÅNE LÄN</t>
        </is>
      </c>
      <c r="E7" t="inlineStr">
        <is>
          <t>YSTAD</t>
        </is>
      </c>
      <c r="G7" t="n">
        <v>16.1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Lövgroda</t>
        </is>
      </c>
      <c r="S7">
        <f>HYPERLINK("https://klasma.github.io/Logging_1286/artfynd/A 60891-2024 artfynd.xlsx", "A 60891-2024")</f>
        <v/>
      </c>
      <c r="T7">
        <f>HYPERLINK("https://klasma.github.io/Logging_1286/kartor/A 60891-2024 karta.png", "A 60891-2024")</f>
        <v/>
      </c>
      <c r="V7">
        <f>HYPERLINK("https://klasma.github.io/Logging_1286/klagomål/A 60891-2024 FSC-klagomål.docx", "A 60891-2024")</f>
        <v/>
      </c>
      <c r="W7">
        <f>HYPERLINK("https://klasma.github.io/Logging_1286/klagomålsmail/A 60891-2024 FSC-klagomål mail.docx", "A 60891-2024")</f>
        <v/>
      </c>
      <c r="X7">
        <f>HYPERLINK("https://klasma.github.io/Logging_1286/tillsyn/A 60891-2024 tillsynsbegäran.docx", "A 60891-2024")</f>
        <v/>
      </c>
      <c r="Y7">
        <f>HYPERLINK("https://klasma.github.io/Logging_1286/tillsynsmail/A 60891-2024 tillsynsbegäran mail.docx", "A 60891-2024")</f>
        <v/>
      </c>
    </row>
    <row r="8" ht="15" customHeight="1">
      <c r="A8" t="inlineStr">
        <is>
          <t>A 49546-2025</t>
        </is>
      </c>
      <c r="B8" s="1" t="n">
        <v>45939</v>
      </c>
      <c r="C8" s="1" t="n">
        <v>46075</v>
      </c>
      <c r="D8" t="inlineStr">
        <is>
          <t>SKÅNE LÄN</t>
        </is>
      </c>
      <c r="E8" t="inlineStr">
        <is>
          <t>YSTAD</t>
        </is>
      </c>
      <c r="G8" t="n">
        <v>4.4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Igelkottsröksvamp</t>
        </is>
      </c>
      <c r="S8">
        <f>HYPERLINK("https://klasma.github.io/Logging_1286/artfynd/A 49546-2025 artfynd.xlsx", "A 49546-2025")</f>
        <v/>
      </c>
      <c r="T8">
        <f>HYPERLINK("https://klasma.github.io/Logging_1286/kartor/A 49546-2025 karta.png", "A 49546-2025")</f>
        <v/>
      </c>
      <c r="V8">
        <f>HYPERLINK("https://klasma.github.io/Logging_1286/klagomål/A 49546-2025 FSC-klagomål.docx", "A 49546-2025")</f>
        <v/>
      </c>
      <c r="W8">
        <f>HYPERLINK("https://klasma.github.io/Logging_1286/klagomålsmail/A 49546-2025 FSC-klagomål mail.docx", "A 49546-2025")</f>
        <v/>
      </c>
      <c r="X8">
        <f>HYPERLINK("https://klasma.github.io/Logging_1286/tillsyn/A 49546-2025 tillsynsbegäran.docx", "A 49546-2025")</f>
        <v/>
      </c>
      <c r="Y8">
        <f>HYPERLINK("https://klasma.github.io/Logging_1286/tillsynsmail/A 49546-2025 tillsynsbegäran mail.docx", "A 49546-2025")</f>
        <v/>
      </c>
    </row>
    <row r="9" ht="15" customHeight="1">
      <c r="A9" t="inlineStr">
        <is>
          <t>A 31213-2023</t>
        </is>
      </c>
      <c r="B9" s="1" t="n">
        <v>45113</v>
      </c>
      <c r="C9" s="1" t="n">
        <v>46075</v>
      </c>
      <c r="D9" t="inlineStr">
        <is>
          <t>SKÅNE LÄN</t>
        </is>
      </c>
      <c r="E9" t="inlineStr">
        <is>
          <t>YSTAD</t>
        </is>
      </c>
      <c r="G9" t="n">
        <v>6.5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Skogsveronika</t>
        </is>
      </c>
      <c r="S9">
        <f>HYPERLINK("https://klasma.github.io/Logging_1286/artfynd/A 31213-2023 artfynd.xlsx", "A 31213-2023")</f>
        <v/>
      </c>
      <c r="T9">
        <f>HYPERLINK("https://klasma.github.io/Logging_1286/kartor/A 31213-2023 karta.png", "A 31213-2023")</f>
        <v/>
      </c>
      <c r="V9">
        <f>HYPERLINK("https://klasma.github.io/Logging_1286/klagomål/A 31213-2023 FSC-klagomål.docx", "A 31213-2023")</f>
        <v/>
      </c>
      <c r="W9">
        <f>HYPERLINK("https://klasma.github.io/Logging_1286/klagomålsmail/A 31213-2023 FSC-klagomål mail.docx", "A 31213-2023")</f>
        <v/>
      </c>
      <c r="X9">
        <f>HYPERLINK("https://klasma.github.io/Logging_1286/tillsyn/A 31213-2023 tillsynsbegäran.docx", "A 31213-2023")</f>
        <v/>
      </c>
      <c r="Y9">
        <f>HYPERLINK("https://klasma.github.io/Logging_1286/tillsynsmail/A 31213-2023 tillsynsbegäran mail.docx", "A 31213-2023")</f>
        <v/>
      </c>
    </row>
    <row r="10" ht="15" customHeight="1">
      <c r="A10" t="inlineStr">
        <is>
          <t>A 34341-2024</t>
        </is>
      </c>
      <c r="B10" s="1" t="n">
        <v>45525</v>
      </c>
      <c r="C10" s="1" t="n">
        <v>46075</v>
      </c>
      <c r="D10" t="inlineStr">
        <is>
          <t>SKÅNE LÄN</t>
        </is>
      </c>
      <c r="E10" t="inlineStr">
        <is>
          <t>YSTAD</t>
        </is>
      </c>
      <c r="F10" t="inlineStr">
        <is>
          <t>Övriga Aktiebolag</t>
        </is>
      </c>
      <c r="G10" t="n">
        <v>14.4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Desmeknopp</t>
        </is>
      </c>
      <c r="S10">
        <f>HYPERLINK("https://klasma.github.io/Logging_1286/artfynd/A 34341-2024 artfynd.xlsx", "A 34341-2024")</f>
        <v/>
      </c>
      <c r="T10">
        <f>HYPERLINK("https://klasma.github.io/Logging_1286/kartor/A 34341-2024 karta.png", "A 34341-2024")</f>
        <v/>
      </c>
      <c r="V10">
        <f>HYPERLINK("https://klasma.github.io/Logging_1286/klagomål/A 34341-2024 FSC-klagomål.docx", "A 34341-2024")</f>
        <v/>
      </c>
      <c r="W10">
        <f>HYPERLINK("https://klasma.github.io/Logging_1286/klagomålsmail/A 34341-2024 FSC-klagomål mail.docx", "A 34341-2024")</f>
        <v/>
      </c>
      <c r="X10">
        <f>HYPERLINK("https://klasma.github.io/Logging_1286/tillsyn/A 34341-2024 tillsynsbegäran.docx", "A 34341-2024")</f>
        <v/>
      </c>
      <c r="Y10">
        <f>HYPERLINK("https://klasma.github.io/Logging_1286/tillsynsmail/A 34341-2024 tillsynsbegäran mail.docx", "A 34341-2024")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46075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46075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46075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32596-2024</t>
        </is>
      </c>
      <c r="B14" s="1" t="n">
        <v>45513.61667824074</v>
      </c>
      <c r="C14" s="1" t="n">
        <v>46075</v>
      </c>
      <c r="D14" t="inlineStr">
        <is>
          <t>SKÅNE LÄN</t>
        </is>
      </c>
      <c r="E14" t="inlineStr">
        <is>
          <t>YSTAD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40417-2022</t>
        </is>
      </c>
      <c r="B15" s="1" t="n">
        <v>44823</v>
      </c>
      <c r="C15" s="1" t="n">
        <v>46075</v>
      </c>
      <c r="D15" t="inlineStr">
        <is>
          <t>SKÅNE LÄN</t>
        </is>
      </c>
      <c r="E15" t="inlineStr">
        <is>
          <t>YSTAD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49536-2025</t>
        </is>
      </c>
      <c r="B16" s="1" t="n">
        <v>45939.4221875</v>
      </c>
      <c r="C16" s="1" t="n">
        <v>46075</v>
      </c>
      <c r="D16" t="inlineStr">
        <is>
          <t>SKÅNE LÄN</t>
        </is>
      </c>
      <c r="E16" t="inlineStr">
        <is>
          <t>YSTAD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49543-2025</t>
        </is>
      </c>
      <c r="B17" s="1" t="n">
        <v>45939.42862268518</v>
      </c>
      <c r="C17" s="1" t="n">
        <v>46075</v>
      </c>
      <c r="D17" t="inlineStr">
        <is>
          <t>SKÅNE LÄN</t>
        </is>
      </c>
      <c r="E17" t="inlineStr">
        <is>
          <t>YSTAD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18090-2022</t>
        </is>
      </c>
      <c r="B18" s="1" t="n">
        <v>44684</v>
      </c>
      <c r="C18" s="1" t="n">
        <v>46075</v>
      </c>
      <c r="D18" t="inlineStr">
        <is>
          <t>SKÅNE LÄN</t>
        </is>
      </c>
      <c r="E18" t="inlineStr">
        <is>
          <t>YSTAD</t>
        </is>
      </c>
      <c r="G18" t="n">
        <v>4.9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60803-2023</t>
        </is>
      </c>
      <c r="B19" s="1" t="n">
        <v>45260</v>
      </c>
      <c r="C19" s="1" t="n">
        <v>46075</v>
      </c>
      <c r="D19" t="inlineStr">
        <is>
          <t>SKÅNE LÄN</t>
        </is>
      </c>
      <c r="E19" t="inlineStr">
        <is>
          <t>YSTAD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38631-2023</t>
        </is>
      </c>
      <c r="B20" s="1" t="n">
        <v>45162</v>
      </c>
      <c r="C20" s="1" t="n">
        <v>46075</v>
      </c>
      <c r="D20" t="inlineStr">
        <is>
          <t>SKÅNE LÄN</t>
        </is>
      </c>
      <c r="E20" t="inlineStr">
        <is>
          <t>YSTAD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22195-2023</t>
        </is>
      </c>
      <c r="B21" s="1" t="n">
        <v>45069.74605324074</v>
      </c>
      <c r="C21" s="1" t="n">
        <v>46075</v>
      </c>
      <c r="D21" t="inlineStr">
        <is>
          <t>SKÅNE LÄN</t>
        </is>
      </c>
      <c r="E21" t="inlineStr">
        <is>
          <t>YSTAD</t>
        </is>
      </c>
      <c r="F21" t="inlineStr">
        <is>
          <t>Övriga Aktiebolag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49549-2025</t>
        </is>
      </c>
      <c r="B22" s="1" t="n">
        <v>45939</v>
      </c>
      <c r="C22" s="1" t="n">
        <v>46075</v>
      </c>
      <c r="D22" t="inlineStr">
        <is>
          <t>SKÅNE LÄN</t>
        </is>
      </c>
      <c r="E22" t="inlineStr">
        <is>
          <t>YSTAD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34302-2024</t>
        </is>
      </c>
      <c r="B23" s="1" t="n">
        <v>45524</v>
      </c>
      <c r="C23" s="1" t="n">
        <v>46075</v>
      </c>
      <c r="D23" t="inlineStr">
        <is>
          <t>SKÅNE LÄN</t>
        </is>
      </c>
      <c r="E23" t="inlineStr">
        <is>
          <t>YSTAD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2026-02-22T10:59:37Z</dcterms:created>
  <dcterms:modified xmlns:dcterms="http://purl.org/dc/terms/" xmlns:xsi="http://www.w3.org/2001/XMLSchema-instance" xsi:type="dcterms:W3CDTF">2026-02-22T10:59:37Z</dcterms:modified>
</cp:coreProperties>
</file>
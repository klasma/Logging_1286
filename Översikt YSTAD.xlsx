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46029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46029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46029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46029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46029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46029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13766-2023</t>
        </is>
      </c>
      <c r="B8" s="1" t="n">
        <v>45007</v>
      </c>
      <c r="C8" s="1" t="n">
        <v>46029</v>
      </c>
      <c r="D8" t="inlineStr">
        <is>
          <t>SKÅNE LÄN</t>
        </is>
      </c>
      <c r="E8" t="inlineStr">
        <is>
          <t>YSTAD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Större vattensalamander</t>
        </is>
      </c>
      <c r="S8">
        <f>HYPERLINK("https://klasma.github.io/Logging_1286/artfynd/A 13766-2023 artfynd.xlsx", "A 13766-2023")</f>
        <v/>
      </c>
      <c r="T8">
        <f>HYPERLINK("https://klasma.github.io/Logging_1286/kartor/A 13766-2023 karta.png", "A 13766-2023")</f>
        <v/>
      </c>
      <c r="V8">
        <f>HYPERLINK("https://klasma.github.io/Logging_1286/klagomål/A 13766-2023 FSC-klagomål.docx", "A 13766-2023")</f>
        <v/>
      </c>
      <c r="W8">
        <f>HYPERLINK("https://klasma.github.io/Logging_1286/klagomålsmail/A 13766-2023 FSC-klagomål mail.docx", "A 13766-2023")</f>
        <v/>
      </c>
      <c r="X8">
        <f>HYPERLINK("https://klasma.github.io/Logging_1286/tillsyn/A 13766-2023 tillsynsbegäran.docx", "A 13766-2023")</f>
        <v/>
      </c>
      <c r="Y8">
        <f>HYPERLINK("https://klasma.github.io/Logging_1286/tillsynsmail/A 13766-2023 tillsynsbegäran mail.docx", "A 13766-2023")</f>
        <v/>
      </c>
    </row>
    <row r="9" ht="15" customHeight="1">
      <c r="A9" t="inlineStr">
        <is>
          <t>A 49546-2025</t>
        </is>
      </c>
      <c r="B9" s="1" t="n">
        <v>45939</v>
      </c>
      <c r="C9" s="1" t="n">
        <v>46029</v>
      </c>
      <c r="D9" t="inlineStr">
        <is>
          <t>SKÅNE LÄN</t>
        </is>
      </c>
      <c r="E9" t="inlineStr">
        <is>
          <t>YSTAD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Igelkottsröksvamp</t>
        </is>
      </c>
      <c r="S9">
        <f>HYPERLINK("https://klasma.github.io/Logging_1286/artfynd/A 49546-2025 artfynd.xlsx", "A 49546-2025")</f>
        <v/>
      </c>
      <c r="T9">
        <f>HYPERLINK("https://klasma.github.io/Logging_1286/kartor/A 49546-2025 karta.png", "A 49546-2025")</f>
        <v/>
      </c>
      <c r="V9">
        <f>HYPERLINK("https://klasma.github.io/Logging_1286/klagomål/A 49546-2025 FSC-klagomål.docx", "A 49546-2025")</f>
        <v/>
      </c>
      <c r="W9">
        <f>HYPERLINK("https://klasma.github.io/Logging_1286/klagomålsmail/A 49546-2025 FSC-klagomål mail.docx", "A 49546-2025")</f>
        <v/>
      </c>
      <c r="X9">
        <f>HYPERLINK("https://klasma.github.io/Logging_1286/tillsyn/A 49546-2025 tillsynsbegäran.docx", "A 49546-2025")</f>
        <v/>
      </c>
      <c r="Y9">
        <f>HYPERLINK("https://klasma.github.io/Logging_1286/tillsynsmail/A 49546-2025 tillsynsbegäran mail.docx", "A 49546-2025")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46029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46029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46029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46029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46029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46029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60803-2023</t>
        </is>
      </c>
      <c r="B16" s="1" t="n">
        <v>45260</v>
      </c>
      <c r="C16" s="1" t="n">
        <v>46029</v>
      </c>
      <c r="D16" t="inlineStr">
        <is>
          <t>SKÅNE LÄN</t>
        </is>
      </c>
      <c r="E16" t="inlineStr">
        <is>
          <t>YSTAD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32596-2024</t>
        </is>
      </c>
      <c r="B17" s="1" t="n">
        <v>45513.61667824074</v>
      </c>
      <c r="C17" s="1" t="n">
        <v>46029</v>
      </c>
      <c r="D17" t="inlineStr">
        <is>
          <t>SKÅNE LÄN</t>
        </is>
      </c>
      <c r="E17" t="inlineStr">
        <is>
          <t>YSTAD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46029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46029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46029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46029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46029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46029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46029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2026-01-07T10:46:16Z</dcterms:created>
  <dcterms:modified xmlns:dcterms="http://purl.org/dc/terms/" xmlns:xsi="http://www.w3.org/2001/XMLSchema-instance" xsi:type="dcterms:W3CDTF">2026-01-07T10:46:16Z</dcterms:modified>
</cp:coreProperties>
</file>
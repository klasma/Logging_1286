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49546-2025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45939</v>
      </c>
      <c r="E2" s="1" t="n">
        <v>46308</v>
      </c>
      <c r="F2" t="inlineStr">
        <is>
          <t>SKÅNE LÄN</t>
        </is>
      </c>
      <c r="G2" t="inlineStr">
        <is>
          <t>YSTAD</t>
        </is>
      </c>
      <c r="I2" t="n">
        <v>4.4</v>
      </c>
      <c r="J2" t="n">
        <v>0</v>
      </c>
      <c r="K2" t="n">
        <v>1</v>
      </c>
      <c r="L2" t="n">
        <v>0</v>
      </c>
      <c r="M2" t="n">
        <v>0</v>
      </c>
      <c r="N2" t="n">
        <v>1</v>
      </c>
      <c r="O2" t="n">
        <v>0</v>
      </c>
      <c r="P2" t="n">
        <v>0</v>
      </c>
      <c r="Q2" t="n">
        <v>1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Skogsalm
Igelkottsröksvamp</t>
        </is>
      </c>
      <c r="W2">
        <f>HYPERLINK("https://klasma.github.io/Logging_1286/artfynd/A 49546-2025 artfynd.xlsx", "A 49546-2025")</f>
        <v/>
      </c>
      <c r="X2">
        <f>HYPERLINK("https://klasma.github.io/Logging_1286/kartor/A 49546-2025 karta.png", "A 49546-2025")</f>
        <v/>
      </c>
      <c r="Y2">
        <f>HYPERLINK("https://klasma.github.io/Logging_1286/kartor_geotiff/A 49546-2025 georefererad karta.tif", "A 49546-2025")</f>
        <v/>
      </c>
      <c r="AA2">
        <f>HYPERLINK("https://klasma.github.io/Logging_1286/klagomål/A 49546-2025 FSC-klagomål.docx", "A 49546-2025")</f>
        <v/>
      </c>
      <c r="AB2">
        <f>HYPERLINK("https://klasma.github.io/Logging_1286/klagomålsmail/A 49546-2025 FSC-klagomål mail.docx", "A 49546-2025")</f>
        <v/>
      </c>
      <c r="AC2">
        <f>HYPERLINK("https://klasma.github.io/Logging_1286/tillsyn/A 49546-2025 tillsynsbegäran.docx", "A 49546-2025")</f>
        <v/>
      </c>
      <c r="AD2">
        <f>HYPERLINK("https://klasma.github.io/Logging_1286/tillsynsmail/A 49546-2025 tillsynsbegäran mail.docx", "A 49546-2025")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46308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t="n">
        <v>1</v>
      </c>
      <c r="V3" s="2" t="inlineStr">
        <is>
          <t>Lönnlav
Strävlosta</t>
        </is>
      </c>
      <c r="W3">
        <f>HYPERLINK("https://klasma.github.io/Logging_1286/artfynd/A 3253-2025 artfynd.xlsx", "A 3253-2025")</f>
        <v/>
      </c>
      <c r="X3">
        <f>HYPERLINK("https://klasma.github.io/Logging_1286/kartor/A 3253-2025 karta.png", "A 3253-2025")</f>
        <v/>
      </c>
      <c r="Y3">
        <f>HYPERLINK("https://klasma.github.io/Logging_1286/kartor_geotiff/A 3253-2025 georefererad karta.tif", "A 3253-2025")</f>
        <v/>
      </c>
      <c r="AA3">
        <f>HYPERLINK("https://klasma.github.io/Logging_1286/klagomål/A 3253-2025 FSC-klagomål.docx", "A 3253-2025")</f>
        <v/>
      </c>
      <c r="AB3">
        <f>HYPERLINK("https://klasma.github.io/Logging_1286/klagomålsmail/A 3253-2025 FSC-klagomål mail.docx", "A 3253-2025")</f>
        <v/>
      </c>
      <c r="AC3">
        <f>HYPERLINK("https://klasma.github.io/Logging_1286/tillsyn/A 3253-2025 tillsynsbegäran.docx", "A 3253-2025")</f>
        <v/>
      </c>
      <c r="AD3">
        <f>HYPERLINK("https://klasma.github.io/Logging_1286/tillsynsmail/A 3253-2025 tillsynsbegäran mail.docx", "A 3253-2025")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46308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46308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46308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46308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46308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13766-2023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45007</v>
      </c>
      <c r="E9" s="1" t="n">
        <v>46308</v>
      </c>
      <c r="F9" t="inlineStr">
        <is>
          <t>SKÅNE LÄN</t>
        </is>
      </c>
      <c r="G9" t="inlineStr">
        <is>
          <t>YSTAD</t>
        </is>
      </c>
      <c r="I9" t="n">
        <v>0.9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HYPERLINK("https://klasma.github.io/Logging_1286/artfynd/A 13766-2023 artfynd.xlsx", "A 13766-2023")</f>
        <v/>
      </c>
      <c r="X9">
        <f>HYPERLINK("https://klasma.github.io/Logging_1286/kartor/A 13766-2023 karta.png", "A 13766-2023")</f>
        <v/>
      </c>
      <c r="Y9">
        <f>HYPERLINK("https://klasma.github.io/Logging_1286/kartor_geotiff/A 13766-2023 georefererad karta.tif", "A 13766-2023")</f>
        <v/>
      </c>
      <c r="AA9">
        <f>HYPERLINK("https://klasma.github.io/Logging_1286/klagomål/A 13766-2023 FSC-klagomål.docx", "A 13766-2023")</f>
        <v/>
      </c>
      <c r="AB9">
        <f>HYPERLINK("https://klasma.github.io/Logging_1286/klagomålsmail/A 13766-2023 FSC-klagomål mail.docx", "A 13766-2023")</f>
        <v/>
      </c>
      <c r="AC9">
        <f>HYPERLINK("https://klasma.github.io/Logging_1286/tillsyn/A 13766-2023 tillsynsbegäran.docx", "A 13766-2023")</f>
        <v/>
      </c>
      <c r="AD9">
        <f>HYPERLINK("https://klasma.github.io/Logging_1286/tillsynsmail/A 13766-2023 tillsynsbegäran mail.docx", "A 13766-2023")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46308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46308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46308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46308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49536-2025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45939</v>
      </c>
      <c r="E14" s="1" t="n">
        <v>46308</v>
      </c>
      <c r="F14" t="inlineStr">
        <is>
          <t>SKÅNE LÄN</t>
        </is>
      </c>
      <c r="G14" t="inlineStr">
        <is>
          <t>YSTAD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46308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45513</v>
      </c>
      <c r="E16" s="1" t="n">
        <v>46308</v>
      </c>
      <c r="F16" t="inlineStr">
        <is>
          <t>SKÅNE LÄN</t>
        </is>
      </c>
      <c r="G16" t="inlineStr">
        <is>
          <t>YSTAD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38413-2026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46282</v>
      </c>
      <c r="E17" s="1" t="n">
        <v>46308</v>
      </c>
      <c r="F17" t="inlineStr">
        <is>
          <t>SKÅNE LÄN</t>
        </is>
      </c>
      <c r="G17" t="inlineStr">
        <is>
          <t>YSTAD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27578-2026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46190</v>
      </c>
      <c r="E18" s="1" t="n">
        <v>46308</v>
      </c>
      <c r="F18" t="inlineStr">
        <is>
          <t>SKÅNE LÄN</t>
        </is>
      </c>
      <c r="G18" t="inlineStr">
        <is>
          <t>YSTAD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40417-2022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44823</v>
      </c>
      <c r="E19" s="1" t="n">
        <v>46308</v>
      </c>
      <c r="F19" t="inlineStr">
        <is>
          <t>SKÅNE LÄN</t>
        </is>
      </c>
      <c r="G19" t="inlineStr">
        <is>
          <t>YSTAD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18090-2022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44684</v>
      </c>
      <c r="E20" s="1" t="n">
        <v>46308</v>
      </c>
      <c r="F20" t="inlineStr">
        <is>
          <t>SKÅNE LÄN</t>
        </is>
      </c>
      <c r="G20" t="inlineStr">
        <is>
          <t>YSTAD</t>
        </is>
      </c>
      <c r="I20" t="n">
        <v>4.9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60803-2023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45260</v>
      </c>
      <c r="E21" s="1" t="n">
        <v>46308</v>
      </c>
      <c r="F21" t="inlineStr">
        <is>
          <t>SKÅNE LÄN</t>
        </is>
      </c>
      <c r="G21" t="inlineStr">
        <is>
          <t>YSTAD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38631-2023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45162</v>
      </c>
      <c r="E22" s="1" t="n">
        <v>46308</v>
      </c>
      <c r="F22" t="inlineStr">
        <is>
          <t>SKÅNE LÄN</t>
        </is>
      </c>
      <c r="G22" t="inlineStr">
        <is>
          <t>YSTAD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22195-2023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45069</v>
      </c>
      <c r="E23" s="1" t="n">
        <v>46308</v>
      </c>
      <c r="F23" t="inlineStr">
        <is>
          <t>SKÅNE LÄN</t>
        </is>
      </c>
      <c r="G23" t="inlineStr">
        <is>
          <t>YSTAD</t>
        </is>
      </c>
      <c r="H23" t="inlineStr">
        <is>
          <t>Övriga Aktiebolag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2026-10-13T01:57:40Z</dcterms:created>
  <dcterms:modified xmlns:dcterms="http://purl.org/dc/terms/" xmlns:xsi="http://www.w3.org/2001/XMLSchema-instance" xsi:type="dcterms:W3CDTF">2026-10-13T01:57:40Z</dcterms:modified>
</cp:coreProperties>
</file>